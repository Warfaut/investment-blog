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gorzubkov/Desktop/Проекты /Revolute /"/>
    </mc:Choice>
  </mc:AlternateContent>
  <xr:revisionPtr revIDLastSave="0" documentId="8_{F5C28240-04CB-9D46-BDB9-9FE2E6478D33}" xr6:coauthVersionLast="47" xr6:coauthVersionMax="47" xr10:uidLastSave="{00000000-0000-0000-0000-000000000000}"/>
  <bookViews>
    <workbookView xWindow="3140" yWindow="1660" windowWidth="28240" windowHeight="17240" activeTab="3" xr2:uid="{D95F7E3B-A48D-4240-942C-933E959791D9}"/>
  </bookViews>
  <sheets>
    <sheet name="Raw" sheetId="1" r:id="rId1"/>
    <sheet name="Growth" sheetId="2" r:id="rId2"/>
    <sheet name="ARPU" sheetId="3" r:id="rId3"/>
    <sheet name="Incremental" sheetId="8" r:id="rId4"/>
    <sheet name="Costs" sheetId="4" r:id="rId5"/>
    <sheet name="Unit Economics" sheetId="5" r:id="rId6"/>
    <sheet name="Valuation" sheetId="6" r:id="rId7"/>
    <sheet name="Cash_Flow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8" l="1"/>
  <c r="G6" i="8"/>
  <c r="G7" i="8"/>
  <c r="G8" i="8"/>
  <c r="G4" i="8"/>
  <c r="H5" i="8"/>
  <c r="H6" i="8"/>
  <c r="H7" i="8"/>
  <c r="H8" i="8"/>
  <c r="E6" i="8"/>
  <c r="F6" i="8"/>
  <c r="E7" i="8"/>
  <c r="F7" i="8"/>
  <c r="E8" i="8"/>
  <c r="F8" i="8"/>
  <c r="F5" i="8"/>
  <c r="E5" i="8"/>
  <c r="H5" i="7"/>
  <c r="H6" i="7"/>
  <c r="H7" i="7"/>
  <c r="H8" i="7"/>
  <c r="H4" i="7"/>
  <c r="G5" i="7"/>
  <c r="G6" i="7"/>
  <c r="G7" i="7"/>
  <c r="G8" i="7"/>
  <c r="G4" i="7"/>
  <c r="C16" i="6"/>
  <c r="C15" i="6"/>
  <c r="G5" i="5"/>
  <c r="G6" i="5"/>
  <c r="G7" i="5"/>
  <c r="G8" i="5"/>
  <c r="G4" i="5"/>
  <c r="F5" i="5"/>
  <c r="F6" i="5"/>
  <c r="F7" i="5"/>
  <c r="F8" i="5"/>
  <c r="F4" i="5"/>
  <c r="G5" i="4"/>
  <c r="G6" i="4"/>
  <c r="G7" i="4"/>
  <c r="G8" i="4"/>
  <c r="G4" i="4"/>
  <c r="F5" i="4"/>
  <c r="F6" i="4"/>
  <c r="F7" i="4"/>
  <c r="F8" i="4"/>
  <c r="F4" i="4"/>
  <c r="E6" i="4"/>
  <c r="E7" i="4"/>
  <c r="E8" i="4"/>
  <c r="E5" i="4"/>
  <c r="F5" i="3"/>
  <c r="F6" i="3"/>
  <c r="G6" i="3" s="1"/>
  <c r="F7" i="3"/>
  <c r="G7" i="3" s="1"/>
  <c r="F8" i="3"/>
  <c r="G8" i="3" s="1"/>
  <c r="F4" i="3"/>
  <c r="E6" i="3"/>
  <c r="E7" i="3"/>
  <c r="E8" i="3"/>
  <c r="E5" i="3"/>
  <c r="E4" i="3"/>
  <c r="B13" i="2"/>
  <c r="B11" i="2"/>
  <c r="H6" i="2"/>
  <c r="H7" i="2"/>
  <c r="H8" i="2"/>
  <c r="H5" i="2"/>
  <c r="G6" i="2"/>
  <c r="G7" i="2"/>
  <c r="G8" i="2"/>
  <c r="G5" i="2"/>
  <c r="F6" i="2"/>
  <c r="F7" i="2"/>
  <c r="F8" i="2"/>
  <c r="F5" i="2"/>
  <c r="E6" i="2"/>
  <c r="E7" i="2"/>
  <c r="E8" i="2"/>
  <c r="E5" i="2"/>
  <c r="G5" i="3" l="1"/>
</calcChain>
</file>

<file path=xl/sharedStrings.xml><?xml version="1.0" encoding="utf-8"?>
<sst xmlns="http://schemas.openxmlformats.org/spreadsheetml/2006/main" count="79" uniqueCount="53">
  <si>
    <t>ARPU</t>
  </si>
  <si>
    <t>Year</t>
  </si>
  <si>
    <t>Revenue</t>
  </si>
  <si>
    <t>Users</t>
  </si>
  <si>
    <t>Operating expenses</t>
  </si>
  <si>
    <t>Operating profit / (loss)</t>
  </si>
  <si>
    <t>Net income</t>
  </si>
  <si>
    <t>Employees</t>
  </si>
  <si>
    <t>Revenue YoY</t>
  </si>
  <si>
    <t>Users YoY</t>
  </si>
  <si>
    <t>Revenue Index</t>
  </si>
  <si>
    <t>Users Index</t>
  </si>
  <si>
    <t>-</t>
  </si>
  <si>
    <t>Revenue CAGR </t>
  </si>
  <si>
    <t>Users CAGR</t>
  </si>
  <si>
    <t>Avg Users</t>
  </si>
  <si>
    <t>ARPU YoY</t>
  </si>
  <si>
    <t>Opex YoY</t>
  </si>
  <si>
    <t>Opex / Revenue</t>
  </si>
  <si>
    <t>Operating margin</t>
  </si>
  <si>
    <t>Revenue / Employee</t>
  </si>
  <si>
    <t>Opex / Employee</t>
  </si>
  <si>
    <t>Metric</t>
  </si>
  <si>
    <t>Value</t>
  </si>
  <si>
    <t>Revenue (2024)</t>
  </si>
  <si>
    <t>Assumed EV / Revenue</t>
  </si>
  <si>
    <t>8.0x</t>
  </si>
  <si>
    <t>Implied Enterprise Value</t>
  </si>
  <si>
    <t>EV / Revenue</t>
  </si>
  <si>
    <t>EV (£bn)</t>
  </si>
  <si>
    <t>6x</t>
  </si>
  <si>
    <t>8x</t>
  </si>
  <si>
    <t>10x</t>
  </si>
  <si>
    <t>Current EV:</t>
  </si>
  <si>
    <t>Current Revenue:</t>
  </si>
  <si>
    <t>Target margin</t>
  </si>
  <si>
    <t>Horizon:</t>
  </si>
  <si>
    <t>Discount rate (proxy)</t>
  </si>
  <si>
    <t>Assumptions</t>
  </si>
  <si>
    <t>ARPU × Users sanity check</t>
  </si>
  <si>
    <t>Users (2024)</t>
  </si>
  <si>
    <t>ARPU (2024)</t>
  </si>
  <si>
    <t>Revenue (calc)</t>
  </si>
  <si>
    <t>Implied Revenue in Year 5</t>
  </si>
  <si>
    <t>Implied Revenue CAGR</t>
  </si>
  <si>
    <t>Operating profit</t>
  </si>
  <si>
    <t>Core Op CF</t>
  </si>
  <si>
    <t>Reported CFO</t>
  </si>
  <si>
    <t>Core CF margin</t>
  </si>
  <si>
    <t>Core CF / Operating profit</t>
  </si>
  <si>
    <t>ΔRevenue</t>
  </si>
  <si>
    <t>ΔUsers</t>
  </si>
  <si>
    <t>Incremental ARPU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</si>
</sst>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6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charset val="204"/>
      <scheme val="minor"/>
    </font>
    <font>
      <b/>
      <sz val="13.5"/>
      <color theme="1"/>
      <name val="Aptos Narrow"/>
      <family val="2"/>
      <charset val="204"/>
      <scheme val="minor"/>
    </font>
    <font>
      <b/>
      <sz val="18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3" fontId="0" fillId="0" borderId="0" xfId="0" applyNumberFormat="1"/>
    <xf numFmtId="2" fontId="0" fillId="0" borderId="0" xfId="0" applyNumberFormat="1"/>
    <xf numFmtId="176" fontId="0" fillId="0" borderId="0" xfId="0" applyNumberFormat="1"/>
    <xf numFmtId="1" fontId="0" fillId="0" borderId="0" xfId="0" applyNumberFormat="1"/>
    <xf numFmtId="0" fontId="3" fillId="0" borderId="0" xfId="0" applyFont="1"/>
    <xf numFmtId="9" fontId="0" fillId="0" borderId="0" xfId="1" applyFont="1"/>
    <xf numFmtId="3" fontId="2" fillId="0" borderId="0" xfId="0" applyNumberFormat="1" applyFont="1"/>
    <xf numFmtId="9" fontId="2" fillId="0" borderId="0" xfId="0" applyNumberFormat="1" applyFont="1"/>
    <xf numFmtId="0" fontId="4" fillId="0" borderId="0" xfId="0" applyFont="1"/>
    <xf numFmtId="0" fontId="5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 vs Users (Index)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5"/>
          <c:order val="0"/>
          <c:tx>
            <c:strRef>
              <c:f>Growth!$G$3</c:f>
              <c:strCache>
                <c:ptCount val="1"/>
                <c:pt idx="0">
                  <c:v>Revenue Index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Growth!$B$4:$B$8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Growth!$G$4:$G$8</c:f>
              <c:numCache>
                <c:formatCode>0</c:formatCode>
                <c:ptCount val="5"/>
                <c:pt idx="0" formatCode="General">
                  <c:v>100</c:v>
                </c:pt>
                <c:pt idx="1">
                  <c:v>286.30335551133959</c:v>
                </c:pt>
                <c:pt idx="2">
                  <c:v>415.29607188194939</c:v>
                </c:pt>
                <c:pt idx="3">
                  <c:v>809.34267270484645</c:v>
                </c:pt>
                <c:pt idx="4">
                  <c:v>1391.0215087646641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A82-0445-B2F0-D7D47B79921C}"/>
            </c:ext>
          </c:extLst>
        </c:ser>
        <c:ser>
          <c:idx val="6"/>
          <c:order val="1"/>
          <c:tx>
            <c:strRef>
              <c:f>Growth!$H$3</c:f>
              <c:strCache>
                <c:ptCount val="1"/>
                <c:pt idx="0">
                  <c:v>Users Index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Growth!$B$4:$B$8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Growth!$H$4:$H$8</c:f>
              <c:numCache>
                <c:formatCode>0.0</c:formatCode>
                <c:ptCount val="5"/>
                <c:pt idx="0" formatCode="General">
                  <c:v>100</c:v>
                </c:pt>
                <c:pt idx="1">
                  <c:v>113.24137931034484</c:v>
                </c:pt>
                <c:pt idx="2">
                  <c:v>180.68965517241381</c:v>
                </c:pt>
                <c:pt idx="3">
                  <c:v>262.06896551724139</c:v>
                </c:pt>
                <c:pt idx="4">
                  <c:v>310.34482758620692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A82-0445-B2F0-D7D47B799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6820479"/>
        <c:axId val="877290687"/>
      </c:lineChart>
      <c:catAx>
        <c:axId val="87682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77290687"/>
        <c:crosses val="autoZero"/>
        <c:auto val="1"/>
        <c:lblAlgn val="ctr"/>
        <c:lblOffset val="100"/>
        <c:noMultiLvlLbl val="0"/>
      </c:catAx>
      <c:valAx>
        <c:axId val="877290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768204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YoY Growth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Growth!$E$3</c:f>
              <c:strCache>
                <c:ptCount val="1"/>
                <c:pt idx="0">
                  <c:v>Revenue YoY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Growth!$B$4:$B$8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Growth!$E$4:$E$8</c:f>
              <c:numCache>
                <c:formatCode>0%</c:formatCode>
                <c:ptCount val="5"/>
                <c:pt idx="0">
                  <c:v>0</c:v>
                </c:pt>
                <c:pt idx="1">
                  <c:v>1.8630335551133959</c:v>
                </c:pt>
                <c:pt idx="2">
                  <c:v>0.45054559748427669</c:v>
                </c:pt>
                <c:pt idx="3">
                  <c:v>0.94883295918798716</c:v>
                </c:pt>
                <c:pt idx="4">
                  <c:v>0.71870526005484203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41-B04B-B66C-C561E3EC4923}"/>
            </c:ext>
          </c:extLst>
        </c:ser>
        <c:ser>
          <c:idx val="4"/>
          <c:order val="1"/>
          <c:tx>
            <c:strRef>
              <c:f>Growth!$F$3</c:f>
              <c:strCache>
                <c:ptCount val="1"/>
                <c:pt idx="0">
                  <c:v>Users YoY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Growth!$B$4:$B$8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Growth!$F$4:$F$8</c:f>
              <c:numCache>
                <c:formatCode>0%</c:formatCode>
                <c:ptCount val="5"/>
                <c:pt idx="0">
                  <c:v>0</c:v>
                </c:pt>
                <c:pt idx="1">
                  <c:v>0.13241379310344836</c:v>
                </c:pt>
                <c:pt idx="2">
                  <c:v>0.59561510353227765</c:v>
                </c:pt>
                <c:pt idx="3">
                  <c:v>0.45038167938931295</c:v>
                </c:pt>
                <c:pt idx="4">
                  <c:v>0.18421052631578938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41-B04B-B66C-C561E3EC49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78125375"/>
        <c:axId val="816890751"/>
      </c:lineChart>
      <c:catAx>
        <c:axId val="8781253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16890751"/>
        <c:crosses val="autoZero"/>
        <c:auto val="1"/>
        <c:lblAlgn val="ctr"/>
        <c:lblOffset val="100"/>
        <c:noMultiLvlLbl val="0"/>
      </c:catAx>
      <c:valAx>
        <c:axId val="816890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78125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ARPU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4"/>
          <c:order val="0"/>
          <c:tx>
            <c:strRef>
              <c:f>ARPU!$F$3</c:f>
              <c:strCache>
                <c:ptCount val="1"/>
                <c:pt idx="0">
                  <c:v>ARPU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ARPU!$B$4:$B$8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ARPU!$F$4:$F$8</c:f>
              <c:numCache>
                <c:formatCode>0</c:formatCode>
                <c:ptCount val="5"/>
                <c:pt idx="0">
                  <c:v>15.320137931034482</c:v>
                </c:pt>
                <c:pt idx="1">
                  <c:v>38.733252131546891</c:v>
                </c:pt>
                <c:pt idx="2">
                  <c:v>35.211717557251909</c:v>
                </c:pt>
                <c:pt idx="3">
                  <c:v>47.312894736842104</c:v>
                </c:pt>
                <c:pt idx="4">
                  <c:v>68.667622222222221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B2-C942-8391-4141EFAE2C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187327"/>
        <c:axId val="885189119"/>
      </c:lineChart>
      <c:catAx>
        <c:axId val="885187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85189119"/>
        <c:crosses val="autoZero"/>
        <c:auto val="1"/>
        <c:lblAlgn val="ctr"/>
        <c:lblOffset val="100"/>
        <c:noMultiLvlLbl val="0"/>
      </c:catAx>
      <c:valAx>
        <c:axId val="88518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85187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 vs ARPU</a:t>
            </a:r>
          </a:p>
          <a:p>
            <a:pPr>
              <a:defRPr/>
            </a:pPr>
            <a:r>
              <a:rPr lang="en-GB" b="1"/>
              <a:t> (Dual Axis)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ARPU!$C$3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ARPU!$B$4:$B$8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ARPU!$C$4:$C$8</c:f>
              <c:numCache>
                <c:formatCode>#,##0</c:formatCode>
                <c:ptCount val="5"/>
                <c:pt idx="0">
                  <c:v>222142000</c:v>
                </c:pt>
                <c:pt idx="1">
                  <c:v>636000000</c:v>
                </c:pt>
                <c:pt idx="2">
                  <c:v>922547000</c:v>
                </c:pt>
                <c:pt idx="3">
                  <c:v>1797890000</c:v>
                </c:pt>
                <c:pt idx="4">
                  <c:v>3090043000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E34-624E-85F8-E2746E475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9819519"/>
        <c:axId val="890269055"/>
      </c:barChart>
      <c:lineChart>
        <c:grouping val="standard"/>
        <c:varyColors val="0"/>
        <c:ser>
          <c:idx val="2"/>
          <c:order val="1"/>
          <c:tx>
            <c:strRef>
              <c:f>ARPU!$F$3</c:f>
              <c:strCache>
                <c:ptCount val="1"/>
                <c:pt idx="0">
                  <c:v>ARPU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ARPU!$F$4:$F$8</c:f>
              <c:numCache>
                <c:formatCode>0</c:formatCode>
                <c:ptCount val="5"/>
                <c:pt idx="0">
                  <c:v>15.320137931034482</c:v>
                </c:pt>
                <c:pt idx="1">
                  <c:v>38.733252131546891</c:v>
                </c:pt>
                <c:pt idx="2">
                  <c:v>35.211717557251909</c:v>
                </c:pt>
                <c:pt idx="3">
                  <c:v>47.312894736842104</c:v>
                </c:pt>
                <c:pt idx="4">
                  <c:v>68.667622222222221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34-624E-85F8-E2746E475D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9913791"/>
        <c:axId val="890271295"/>
      </c:lineChart>
      <c:catAx>
        <c:axId val="8898195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90269055"/>
        <c:auto val="1"/>
        <c:lblAlgn val="ctr"/>
        <c:lblOffset val="100"/>
        <c:noMultiLvlLbl val="0"/>
      </c:catAx>
      <c:valAx>
        <c:axId val="890269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89819519"/>
        <c:crossBetween val="between"/>
      </c:valAx>
      <c:valAx>
        <c:axId val="890271295"/>
        <c:scaling>
          <c:orientation val="minMax"/>
        </c:scaling>
        <c:delete val="0"/>
        <c:axPos val="r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89913791"/>
        <c:crosses val="max"/>
        <c:crossBetween val="between"/>
      </c:valAx>
      <c:catAx>
        <c:axId val="889913791"/>
        <c:scaling>
          <c:orientation val="minMax"/>
        </c:scaling>
        <c:delete val="1"/>
        <c:axPos val="b"/>
        <c:majorTickMark val="none"/>
        <c:minorTickMark val="none"/>
        <c:tickLblPos val="nextTo"/>
        <c:crossAx val="890271295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Average vs Incremental ARPU</a:t>
            </a:r>
            <a:endParaRPr lang="ru-RU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Incremental!$G$3</c:f>
              <c:strCache>
                <c:ptCount val="1"/>
                <c:pt idx="0">
                  <c:v>ARPU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Incremental!$B$6:$B$8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Incremental!$G$6:$G$8</c:f>
              <c:numCache>
                <c:formatCode>0</c:formatCode>
                <c:ptCount val="3"/>
                <c:pt idx="0">
                  <c:v>35.211717557251909</c:v>
                </c:pt>
                <c:pt idx="1">
                  <c:v>47.312894736842104</c:v>
                </c:pt>
                <c:pt idx="2">
                  <c:v>68.667622222222221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2D-574B-BE92-29CE04E7AD10}"/>
            </c:ext>
          </c:extLst>
        </c:ser>
        <c:ser>
          <c:idx val="1"/>
          <c:order val="1"/>
          <c:tx>
            <c:strRef>
              <c:f>Incremental!$H$3</c:f>
              <c:strCache>
                <c:ptCount val="1"/>
                <c:pt idx="0">
                  <c:v>Incremental ARPU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Incremental!$B$6:$B$8</c:f>
              <c:numCache>
                <c:formatCode>General</c:formatCode>
                <c:ptCount val="3"/>
                <c:pt idx="0">
                  <c:v>2022</c:v>
                </c:pt>
                <c:pt idx="1">
                  <c:v>2023</c:v>
                </c:pt>
                <c:pt idx="2">
                  <c:v>2024</c:v>
                </c:pt>
              </c:numCache>
            </c:numRef>
          </c:cat>
          <c:val>
            <c:numRef>
              <c:f>Incremental!$H$6:$H$8</c:f>
              <c:numCache>
                <c:formatCode>0</c:formatCode>
                <c:ptCount val="3"/>
                <c:pt idx="0">
                  <c:v>29.299284253578733</c:v>
                </c:pt>
                <c:pt idx="1">
                  <c:v>74.18161016949152</c:v>
                </c:pt>
                <c:pt idx="2">
                  <c:v>184.59328571428571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2D-574B-BE92-29CE04E7A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1048767"/>
        <c:axId val="921049663"/>
      </c:lineChart>
      <c:catAx>
        <c:axId val="921048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21049663"/>
        <c:crosses val="autoZero"/>
        <c:auto val="1"/>
        <c:lblAlgn val="ctr"/>
        <c:lblOffset val="100"/>
        <c:noMultiLvlLbl val="0"/>
      </c:catAx>
      <c:valAx>
        <c:axId val="92104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21048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 vs Opex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Costs!$C$3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Costs!$B$4:$B$8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Costs!$C$4:$C$8</c:f>
              <c:numCache>
                <c:formatCode>#,##0</c:formatCode>
                <c:ptCount val="5"/>
                <c:pt idx="0">
                  <c:v>222142000</c:v>
                </c:pt>
                <c:pt idx="1">
                  <c:v>636000000</c:v>
                </c:pt>
                <c:pt idx="2">
                  <c:v>922547000</c:v>
                </c:pt>
                <c:pt idx="3">
                  <c:v>1797890000</c:v>
                </c:pt>
                <c:pt idx="4">
                  <c:v>3090043000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58-9444-BB2C-26B62036A17E}"/>
            </c:ext>
          </c:extLst>
        </c:ser>
        <c:ser>
          <c:idx val="2"/>
          <c:order val="1"/>
          <c:tx>
            <c:strRef>
              <c:f>Costs!$D$3</c:f>
              <c:strCache>
                <c:ptCount val="1"/>
                <c:pt idx="0">
                  <c:v>Operating expenses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Costs!$B$4:$B$8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Costs!$D$4:$D$8</c:f>
              <c:numCache>
                <c:formatCode>#,##0</c:formatCode>
                <c:ptCount val="5"/>
                <c:pt idx="0">
                  <c:v>225697000</c:v>
                </c:pt>
                <c:pt idx="1">
                  <c:v>309000000</c:v>
                </c:pt>
                <c:pt idx="2">
                  <c:v>667076000</c:v>
                </c:pt>
                <c:pt idx="3">
                  <c:v>932752000</c:v>
                </c:pt>
                <c:pt idx="4">
                  <c:v>1400412000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58-9444-BB2C-26B62036A1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6400127"/>
        <c:axId val="876444543"/>
      </c:barChart>
      <c:catAx>
        <c:axId val="8764001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76444543"/>
        <c:crosses val="autoZero"/>
        <c:auto val="1"/>
        <c:lblAlgn val="ctr"/>
        <c:lblOffset val="100"/>
        <c:noMultiLvlLbl val="0"/>
      </c:catAx>
      <c:valAx>
        <c:axId val="8764445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876400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Margins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Costs!$F$3</c:f>
              <c:strCache>
                <c:ptCount val="1"/>
                <c:pt idx="0">
                  <c:v>Opex / Revenue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Costs!$B$4:$B$8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Costs!$F$4:$F$8</c:f>
              <c:numCache>
                <c:formatCode>0.00</c:formatCode>
                <c:ptCount val="5"/>
                <c:pt idx="0">
                  <c:v>1.0160032771830632</c:v>
                </c:pt>
                <c:pt idx="1">
                  <c:v>0.48584905660377359</c:v>
                </c:pt>
                <c:pt idx="2">
                  <c:v>0.72308077528841352</c:v>
                </c:pt>
                <c:pt idx="3">
                  <c:v>0.5188037087919728</c:v>
                </c:pt>
                <c:pt idx="4">
                  <c:v>0.45320146030330322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649-B246-A725-58B45AE78678}"/>
            </c:ext>
          </c:extLst>
        </c:ser>
        <c:ser>
          <c:idx val="2"/>
          <c:order val="1"/>
          <c:tx>
            <c:strRef>
              <c:f>Costs!$G$3</c:f>
              <c:strCache>
                <c:ptCount val="1"/>
                <c:pt idx="0">
                  <c:v>Operating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Costs!$B$4:$B$8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Costs!$G$4:$G$8</c:f>
              <c:numCache>
                <c:formatCode>0.00</c:formatCode>
                <c:ptCount val="5"/>
                <c:pt idx="0">
                  <c:v>-1.6003277183063158E-2</c:v>
                </c:pt>
                <c:pt idx="1">
                  <c:v>0.51415094339622636</c:v>
                </c:pt>
                <c:pt idx="2">
                  <c:v>0.27691922471158648</c:v>
                </c:pt>
                <c:pt idx="3">
                  <c:v>0.4811962912080272</c:v>
                </c:pt>
                <c:pt idx="4">
                  <c:v>0.54679853969669678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649-B246-A725-58B45AE786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682047"/>
        <c:axId val="904683839"/>
      </c:lineChart>
      <c:catAx>
        <c:axId val="90468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4683839"/>
        <c:crosses val="autoZero"/>
        <c:auto val="1"/>
        <c:lblAlgn val="ctr"/>
        <c:lblOffset val="100"/>
        <c:noMultiLvlLbl val="0"/>
      </c:catAx>
      <c:valAx>
        <c:axId val="904683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468204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Revenue per Employee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GB" b="1"/>
              <a:t> vs Opex per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'Unit Economics'!$F$3</c:f>
              <c:strCache>
                <c:ptCount val="1"/>
                <c:pt idx="0">
                  <c:v>Revenue / Employee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'Unit Economics'!$B$4:$B$8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'Unit Economics'!$F$4:$F$8</c:f>
              <c:numCache>
                <c:formatCode>#,##0</c:formatCode>
                <c:ptCount val="5"/>
                <c:pt idx="0">
                  <c:v>100973.63636363637</c:v>
                </c:pt>
                <c:pt idx="1">
                  <c:v>127200</c:v>
                </c:pt>
                <c:pt idx="2">
                  <c:v>156020.12514797904</c:v>
                </c:pt>
                <c:pt idx="3">
                  <c:v>220545.87831207065</c:v>
                </c:pt>
                <c:pt idx="4">
                  <c:v>309004.3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988-984A-AA73-46E52B03030A}"/>
            </c:ext>
          </c:extLst>
        </c:ser>
        <c:ser>
          <c:idx val="1"/>
          <c:order val="1"/>
          <c:tx>
            <c:strRef>
              <c:f>'Unit Economics'!$G$3</c:f>
              <c:strCache>
                <c:ptCount val="1"/>
                <c:pt idx="0">
                  <c:v>Opex / Employee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'Unit Economics'!$B$4:$B$8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'Unit Economics'!$G$4:$G$8</c:f>
              <c:numCache>
                <c:formatCode>#,##0</c:formatCode>
                <c:ptCount val="5"/>
                <c:pt idx="0">
                  <c:v>102589.54545454546</c:v>
                </c:pt>
                <c:pt idx="1">
                  <c:v>61800</c:v>
                </c:pt>
                <c:pt idx="2">
                  <c:v>112815.15305259597</c:v>
                </c:pt>
                <c:pt idx="3">
                  <c:v>114420.01962708538</c:v>
                </c:pt>
                <c:pt idx="4">
                  <c:v>140041.20000000001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988-984A-AA73-46E52B030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4732991"/>
        <c:axId val="904734783"/>
      </c:lineChart>
      <c:catAx>
        <c:axId val="904732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4734783"/>
        <c:crosses val="autoZero"/>
        <c:auto val="1"/>
        <c:lblAlgn val="ctr"/>
        <c:lblOffset val="100"/>
        <c:noMultiLvlLbl val="0"/>
      </c:catAx>
      <c:valAx>
        <c:axId val="904734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47329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Core Cash Conversion (Core Op CF / Operating Profit)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Cash_Flow!$H$3</c:f>
              <c:strCache>
                <c:ptCount val="1"/>
                <c:pt idx="0">
                  <c:v>Core CF / Operating profit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softEdge rad="0"/>
            </a:effectLst>
          </c:spPr>
          <c:marker>
            <c:symbol val="none"/>
          </c:marker>
          <c:cat>
            <c:numRef>
              <c:f>Cash_Flow!$B$4:$B$8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Cash_Flow!$H$4:$H$8</c:f>
              <c:numCache>
                <c:formatCode>0.00</c:formatCode>
                <c:ptCount val="5"/>
                <c:pt idx="0">
                  <c:v>#N/A</c:v>
                </c:pt>
                <c:pt idx="1">
                  <c:v>2.5550422230119647</c:v>
                </c:pt>
                <c:pt idx="2">
                  <c:v>#N/A</c:v>
                </c:pt>
                <c:pt idx="3">
                  <c:v>1.355621385566935</c:v>
                </c:pt>
                <c:pt idx="4">
                  <c:v>1.3822903750241107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9DE-814B-A446-3D3E64EF0D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09132671"/>
        <c:axId val="909144767"/>
      </c:lineChart>
      <c:catAx>
        <c:axId val="909132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9144767"/>
        <c:crosses val="autoZero"/>
        <c:auto val="1"/>
        <c:lblAlgn val="ctr"/>
        <c:lblOffset val="100"/>
        <c:noMultiLvlLbl val="0"/>
      </c:catAx>
      <c:valAx>
        <c:axId val="909144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GB"/>
          </a:p>
        </c:txPr>
        <c:crossAx val="909132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GB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19050</xdr:colOff>
      <xdr:row>0</xdr:row>
      <xdr:rowOff>190500</xdr:rowOff>
    </xdr:from>
    <xdr:to>
      <xdr:col>14</xdr:col>
      <xdr:colOff>463550</xdr:colOff>
      <xdr:row>14</xdr:row>
      <xdr:rowOff>12700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288FEE6-60BF-7E6D-0EF2-5A3AB2D24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800100</xdr:colOff>
      <xdr:row>15</xdr:row>
      <xdr:rowOff>25400</xdr:rowOff>
    </xdr:from>
    <xdr:to>
      <xdr:col>14</xdr:col>
      <xdr:colOff>419100</xdr:colOff>
      <xdr:row>28</xdr:row>
      <xdr:rowOff>127000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605BF97D-36FF-A4F5-C71C-C3A00C50C0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2</xdr:row>
      <xdr:rowOff>12700</xdr:rowOff>
    </xdr:from>
    <xdr:to>
      <xdr:col>13</xdr:col>
      <xdr:colOff>406400</xdr:colOff>
      <xdr:row>15</xdr:row>
      <xdr:rowOff>114300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A71EF682-B467-ECF3-F0F8-F2C1AEDB4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800100</xdr:colOff>
      <xdr:row>16</xdr:row>
      <xdr:rowOff>31750</xdr:rowOff>
    </xdr:from>
    <xdr:to>
      <xdr:col>13</xdr:col>
      <xdr:colOff>419100</xdr:colOff>
      <xdr:row>29</xdr:row>
      <xdr:rowOff>133350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8C11D782-0F2C-1DAA-B396-6756B1D010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546100</xdr:colOff>
      <xdr:row>1</xdr:row>
      <xdr:rowOff>133350</xdr:rowOff>
    </xdr:from>
    <xdr:to>
      <xdr:col>14</xdr:col>
      <xdr:colOff>165100</xdr:colOff>
      <xdr:row>15</xdr:row>
      <xdr:rowOff>31750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F521C1D4-19E8-BD48-BBF5-455DBF76DC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635000</xdr:colOff>
      <xdr:row>2</xdr:row>
      <xdr:rowOff>95250</xdr:rowOff>
    </xdr:from>
    <xdr:to>
      <xdr:col>13</xdr:col>
      <xdr:colOff>254000</xdr:colOff>
      <xdr:row>15</xdr:row>
      <xdr:rowOff>196850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5211E28E-1E31-ABF5-DD56-885565A16D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679128</xdr:colOff>
      <xdr:row>16</xdr:row>
      <xdr:rowOff>97510</xdr:rowOff>
    </xdr:from>
    <xdr:to>
      <xdr:col>13</xdr:col>
      <xdr:colOff>278755</xdr:colOff>
      <xdr:row>29</xdr:row>
      <xdr:rowOff>182320</xdr:rowOff>
    </xdr:to>
    <xdr:graphicFrame macro="">
      <xdr:nvGraphicFramePr>
        <xdr:cNvPr id="6" name="Диаграмма 5">
          <a:extLst>
            <a:ext uri="{FF2B5EF4-FFF2-40B4-BE49-F238E27FC236}">
              <a16:creationId xmlns:a16="http://schemas.microsoft.com/office/drawing/2014/main" id="{FDD07091-B2EF-F31C-AEAC-375CA7BDCA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406400</xdr:colOff>
      <xdr:row>2</xdr:row>
      <xdr:rowOff>31750</xdr:rowOff>
    </xdr:from>
    <xdr:to>
      <xdr:col>13</xdr:col>
      <xdr:colOff>25400</xdr:colOff>
      <xdr:row>15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FC3E7A2-4F77-AC77-B86B-F812EE3F5C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685800</xdr:colOff>
      <xdr:row>2</xdr:row>
      <xdr:rowOff>171450</xdr:rowOff>
    </xdr:from>
    <xdr:to>
      <xdr:col>14</xdr:col>
      <xdr:colOff>304800</xdr:colOff>
      <xdr:row>16</xdr:row>
      <xdr:rowOff>69850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8BD981FB-A7EF-0DAE-10DF-D3078E7FAE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F5DE-BF9D-1644-92A0-32C8E68A1BC6}">
  <dimension ref="B3:H8"/>
  <sheetViews>
    <sheetView workbookViewId="0">
      <selection activeCell="B4" sqref="B4:D8"/>
    </sheetView>
  </sheetViews>
  <sheetFormatPr baseColWidth="10" defaultRowHeight="16" x14ac:dyDescent="0.2"/>
  <cols>
    <col min="3" max="3" width="12.6640625" bestFit="1" customWidth="1"/>
    <col min="4" max="4" width="10.1640625" bestFit="1" customWidth="1"/>
    <col min="5" max="5" width="17.6640625" bestFit="1" customWidth="1"/>
    <col min="6" max="6" width="20.5" bestFit="1" customWidth="1"/>
    <col min="7" max="7" width="11.83203125" bestFit="1" customWidth="1"/>
  </cols>
  <sheetData>
    <row r="3" spans="2:8" x14ac:dyDescent="0.2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2:8" x14ac:dyDescent="0.2">
      <c r="B4">
        <v>2020</v>
      </c>
      <c r="C4" s="2">
        <v>222142000</v>
      </c>
      <c r="D4" s="2">
        <v>14500000</v>
      </c>
      <c r="E4" s="2">
        <v>225697000</v>
      </c>
      <c r="F4" s="2">
        <v>-200649000</v>
      </c>
      <c r="G4" s="2">
        <v>-106938000</v>
      </c>
      <c r="H4" s="2">
        <v>2200</v>
      </c>
    </row>
    <row r="5" spans="2:8" x14ac:dyDescent="0.2">
      <c r="B5">
        <v>2021</v>
      </c>
      <c r="C5" s="2">
        <v>636000000</v>
      </c>
      <c r="D5" s="2">
        <v>16420000</v>
      </c>
      <c r="E5" s="2">
        <v>309000000</v>
      </c>
      <c r="F5" s="2">
        <v>59100000</v>
      </c>
      <c r="G5" s="2">
        <v>26000000</v>
      </c>
      <c r="H5" s="2">
        <v>5000</v>
      </c>
    </row>
    <row r="6" spans="2:8" x14ac:dyDescent="0.2">
      <c r="B6">
        <v>2022</v>
      </c>
      <c r="C6" s="2">
        <v>922547000</v>
      </c>
      <c r="D6" s="2">
        <v>26200000</v>
      </c>
      <c r="E6" s="2">
        <v>667076000</v>
      </c>
      <c r="F6" s="2">
        <v>-25418000</v>
      </c>
      <c r="G6" s="2">
        <v>5802000</v>
      </c>
      <c r="H6" s="2">
        <v>5913</v>
      </c>
    </row>
    <row r="7" spans="2:8" x14ac:dyDescent="0.2">
      <c r="B7">
        <v>2023</v>
      </c>
      <c r="C7" s="2">
        <v>1797890000</v>
      </c>
      <c r="D7" s="2">
        <v>38000000</v>
      </c>
      <c r="E7" s="2">
        <v>932752000</v>
      </c>
      <c r="F7" s="2">
        <v>437828000</v>
      </c>
      <c r="G7" s="2">
        <v>344075000</v>
      </c>
      <c r="H7" s="2">
        <v>8152</v>
      </c>
    </row>
    <row r="8" spans="2:8" x14ac:dyDescent="0.2">
      <c r="B8">
        <v>2024</v>
      </c>
      <c r="C8" s="2">
        <v>3090043000</v>
      </c>
      <c r="D8" s="2">
        <v>45000000</v>
      </c>
      <c r="E8" s="2">
        <v>1400412000</v>
      </c>
      <c r="F8" s="2">
        <v>1088730000</v>
      </c>
      <c r="G8" s="2">
        <v>790426000</v>
      </c>
      <c r="H8" s="2">
        <v>10000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20FF3-8A9F-F840-87AB-84C77A5C3ACB}">
  <dimension ref="B3:H13"/>
  <sheetViews>
    <sheetView workbookViewId="0">
      <selection activeCell="I18" sqref="I18"/>
    </sheetView>
  </sheetViews>
  <sheetFormatPr baseColWidth="10" defaultRowHeight="16" x14ac:dyDescent="0.2"/>
  <cols>
    <col min="2" max="2" width="16" bestFit="1" customWidth="1"/>
    <col min="3" max="3" width="13.5" bestFit="1" customWidth="1"/>
    <col min="7" max="7" width="14.6640625" bestFit="1" customWidth="1"/>
    <col min="8" max="8" width="10.6640625" bestFit="1" customWidth="1"/>
  </cols>
  <sheetData>
    <row r="3" spans="2:8" x14ac:dyDescent="0.2">
      <c r="B3" s="1" t="s">
        <v>1</v>
      </c>
      <c r="C3" s="1" t="s">
        <v>2</v>
      </c>
      <c r="D3" s="1" t="s">
        <v>3</v>
      </c>
      <c r="E3" s="1" t="s">
        <v>8</v>
      </c>
      <c r="F3" s="1" t="s">
        <v>9</v>
      </c>
      <c r="G3" s="1" t="s">
        <v>10</v>
      </c>
      <c r="H3" s="1" t="s">
        <v>11</v>
      </c>
    </row>
    <row r="4" spans="2:8" x14ac:dyDescent="0.2">
      <c r="B4">
        <v>2020</v>
      </c>
      <c r="C4" s="2">
        <v>222142000</v>
      </c>
      <c r="D4" s="2">
        <v>14500000</v>
      </c>
      <c r="E4" s="7" t="s">
        <v>12</v>
      </c>
      <c r="F4" s="7" t="s">
        <v>12</v>
      </c>
      <c r="G4">
        <v>100</v>
      </c>
      <c r="H4">
        <v>100</v>
      </c>
    </row>
    <row r="5" spans="2:8" x14ac:dyDescent="0.2">
      <c r="B5">
        <v>2021</v>
      </c>
      <c r="C5" s="2">
        <v>636000000</v>
      </c>
      <c r="D5" s="2">
        <v>16420000</v>
      </c>
      <c r="E5" s="7">
        <f>C5/C4-1</f>
        <v>1.8630335551133959</v>
      </c>
      <c r="F5" s="7">
        <f>D5/D4-1</f>
        <v>0.13241379310344836</v>
      </c>
      <c r="G5" s="5">
        <f>C5/$C$4*100</f>
        <v>286.30335551133959</v>
      </c>
      <c r="H5" s="4">
        <f>D5/$D$4*100</f>
        <v>113.24137931034484</v>
      </c>
    </row>
    <row r="6" spans="2:8" x14ac:dyDescent="0.2">
      <c r="B6">
        <v>2022</v>
      </c>
      <c r="C6" s="2">
        <v>922547000</v>
      </c>
      <c r="D6" s="2">
        <v>26200000</v>
      </c>
      <c r="E6" s="7">
        <f t="shared" ref="E6:E8" si="0">C6/C5-1</f>
        <v>0.45054559748427669</v>
      </c>
      <c r="F6" s="7">
        <f t="shared" ref="F6:F8" si="1">D6/D5-1</f>
        <v>0.59561510353227765</v>
      </c>
      <c r="G6" s="5">
        <f t="shared" ref="G6:G8" si="2">C6/$C$4*100</f>
        <v>415.29607188194939</v>
      </c>
      <c r="H6" s="4">
        <f t="shared" ref="H6:H8" si="3">D6/$D$4*100</f>
        <v>180.68965517241381</v>
      </c>
    </row>
    <row r="7" spans="2:8" x14ac:dyDescent="0.2">
      <c r="B7">
        <v>2023</v>
      </c>
      <c r="C7" s="2">
        <v>1797890000</v>
      </c>
      <c r="D7" s="2">
        <v>38000000</v>
      </c>
      <c r="E7" s="7">
        <f t="shared" si="0"/>
        <v>0.94883295918798716</v>
      </c>
      <c r="F7" s="7">
        <f t="shared" si="1"/>
        <v>0.45038167938931295</v>
      </c>
      <c r="G7" s="5">
        <f t="shared" si="2"/>
        <v>809.34267270484645</v>
      </c>
      <c r="H7" s="4">
        <f t="shared" si="3"/>
        <v>262.06896551724139</v>
      </c>
    </row>
    <row r="8" spans="2:8" x14ac:dyDescent="0.2">
      <c r="B8">
        <v>2024</v>
      </c>
      <c r="C8" s="2">
        <v>3090043000</v>
      </c>
      <c r="D8" s="2">
        <v>45000000</v>
      </c>
      <c r="E8" s="7">
        <f t="shared" si="0"/>
        <v>0.71870526005484203</v>
      </c>
      <c r="F8" s="7">
        <f t="shared" si="1"/>
        <v>0.18421052631578938</v>
      </c>
      <c r="G8" s="5">
        <f t="shared" si="2"/>
        <v>1391.0215087646641</v>
      </c>
      <c r="H8" s="4">
        <f t="shared" si="3"/>
        <v>310.34482758620692</v>
      </c>
    </row>
    <row r="10" spans="2:8" ht="19" x14ac:dyDescent="0.25">
      <c r="B10" s="6" t="s">
        <v>13</v>
      </c>
    </row>
    <row r="11" spans="2:8" x14ac:dyDescent="0.2">
      <c r="B11" s="3">
        <f>(C8/C4)^(1/4)-1</f>
        <v>0.93122760823585971</v>
      </c>
    </row>
    <row r="12" spans="2:8" ht="19" x14ac:dyDescent="0.25">
      <c r="B12" s="6" t="s">
        <v>14</v>
      </c>
    </row>
    <row r="13" spans="2:8" x14ac:dyDescent="0.2">
      <c r="B13" s="3">
        <f>(D8/D4)^(1/4)-1</f>
        <v>0.32727565281071525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CA6B43-BC26-3443-A85A-8B6E37713DF3}">
  <dimension ref="B3:G8"/>
  <sheetViews>
    <sheetView workbookViewId="0">
      <selection activeCell="F3" sqref="F3:F8"/>
    </sheetView>
  </sheetViews>
  <sheetFormatPr baseColWidth="10" defaultRowHeight="16" x14ac:dyDescent="0.2"/>
  <cols>
    <col min="3" max="3" width="12.6640625" bestFit="1" customWidth="1"/>
  </cols>
  <sheetData>
    <row r="3" spans="2:7" x14ac:dyDescent="0.2">
      <c r="B3" s="1" t="s">
        <v>1</v>
      </c>
      <c r="C3" s="1" t="s">
        <v>2</v>
      </c>
      <c r="D3" s="1" t="s">
        <v>3</v>
      </c>
      <c r="E3" s="1" t="s">
        <v>15</v>
      </c>
      <c r="F3" s="1" t="s">
        <v>0</v>
      </c>
      <c r="G3" s="1" t="s">
        <v>16</v>
      </c>
    </row>
    <row r="4" spans="2:7" x14ac:dyDescent="0.2">
      <c r="B4">
        <v>2020</v>
      </c>
      <c r="C4" s="2">
        <v>222142000</v>
      </c>
      <c r="D4" s="2">
        <v>14500000</v>
      </c>
      <c r="E4" s="2">
        <f>D4</f>
        <v>14500000</v>
      </c>
      <c r="F4" s="5">
        <f>C4/D4</f>
        <v>15.320137931034482</v>
      </c>
      <c r="G4" t="s">
        <v>12</v>
      </c>
    </row>
    <row r="5" spans="2:7" x14ac:dyDescent="0.2">
      <c r="B5">
        <v>2021</v>
      </c>
      <c r="C5" s="2">
        <v>636000000</v>
      </c>
      <c r="D5" s="2">
        <v>16420000</v>
      </c>
      <c r="E5" s="2">
        <f>(D5+D4)/2</f>
        <v>15460000</v>
      </c>
      <c r="F5" s="5">
        <f t="shared" ref="F5:F8" si="0">C5/D5</f>
        <v>38.733252131546891</v>
      </c>
      <c r="G5" s="7">
        <f>F5/F4-1</f>
        <v>1.5282574025057394</v>
      </c>
    </row>
    <row r="6" spans="2:7" x14ac:dyDescent="0.2">
      <c r="B6">
        <v>2022</v>
      </c>
      <c r="C6" s="2">
        <v>922547000</v>
      </c>
      <c r="D6" s="2">
        <v>26200000</v>
      </c>
      <c r="E6" s="2">
        <f t="shared" ref="E6:E8" si="1">(D6+D5)/2</f>
        <v>21310000</v>
      </c>
      <c r="F6" s="5">
        <f t="shared" si="0"/>
        <v>35.211717557251909</v>
      </c>
      <c r="G6" s="7">
        <f t="shared" ref="G6:G8" si="2">F6/F5-1</f>
        <v>-9.0917606462144085E-2</v>
      </c>
    </row>
    <row r="7" spans="2:7" x14ac:dyDescent="0.2">
      <c r="B7">
        <v>2023</v>
      </c>
      <c r="C7" s="2">
        <v>1797890000</v>
      </c>
      <c r="D7" s="2">
        <v>38000000</v>
      </c>
      <c r="E7" s="2">
        <f t="shared" si="1"/>
        <v>32100000</v>
      </c>
      <c r="F7" s="5">
        <f t="shared" si="0"/>
        <v>47.312894736842104</v>
      </c>
      <c r="G7" s="7">
        <f t="shared" si="2"/>
        <v>0.34366904028224377</v>
      </c>
    </row>
    <row r="8" spans="2:7" x14ac:dyDescent="0.2">
      <c r="B8">
        <v>2024</v>
      </c>
      <c r="C8" s="2">
        <v>3090043000</v>
      </c>
      <c r="D8" s="2">
        <v>45000000</v>
      </c>
      <c r="E8" s="2">
        <f t="shared" si="1"/>
        <v>41500000</v>
      </c>
      <c r="F8" s="5">
        <f t="shared" si="0"/>
        <v>68.667622222222221</v>
      </c>
      <c r="G8" s="7">
        <f t="shared" si="2"/>
        <v>0.45135110849075555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8596-1152-F04B-A224-D0C60541ECBC}">
  <dimension ref="B3:H8"/>
  <sheetViews>
    <sheetView tabSelected="1" workbookViewId="0">
      <selection activeCell="K22" sqref="K22"/>
    </sheetView>
  </sheetViews>
  <sheetFormatPr baseColWidth="10" defaultRowHeight="16" x14ac:dyDescent="0.2"/>
  <cols>
    <col min="5" max="5" width="11.1640625" bestFit="1" customWidth="1"/>
    <col min="7" max="8" width="16.33203125" bestFit="1" customWidth="1"/>
  </cols>
  <sheetData>
    <row r="3" spans="2:8" x14ac:dyDescent="0.2">
      <c r="B3" s="1" t="s">
        <v>1</v>
      </c>
      <c r="C3" s="1" t="s">
        <v>2</v>
      </c>
      <c r="D3" s="1" t="s">
        <v>3</v>
      </c>
      <c r="E3" s="1" t="s">
        <v>50</v>
      </c>
      <c r="F3" s="1" t="s">
        <v>51</v>
      </c>
      <c r="G3" s="1" t="s">
        <v>0</v>
      </c>
      <c r="H3" s="1" t="s">
        <v>52</v>
      </c>
    </row>
    <row r="4" spans="2:8" x14ac:dyDescent="0.2">
      <c r="B4">
        <v>2020</v>
      </c>
      <c r="C4" s="2">
        <v>222142000</v>
      </c>
      <c r="D4" s="2">
        <v>14500000</v>
      </c>
      <c r="E4" t="s">
        <v>12</v>
      </c>
      <c r="F4" t="s">
        <v>12</v>
      </c>
      <c r="G4" s="5">
        <f>ARPU!F4</f>
        <v>15.320137931034482</v>
      </c>
    </row>
    <row r="5" spans="2:8" x14ac:dyDescent="0.2">
      <c r="B5">
        <v>2021</v>
      </c>
      <c r="C5" s="2">
        <v>636000000</v>
      </c>
      <c r="D5" s="2">
        <v>16420000</v>
      </c>
      <c r="E5" s="2">
        <f>C5-C4</f>
        <v>413858000</v>
      </c>
      <c r="F5" s="2">
        <f>D5-D4</f>
        <v>1920000</v>
      </c>
      <c r="G5" s="5">
        <f>ARPU!F5</f>
        <v>38.733252131546891</v>
      </c>
      <c r="H5" s="5">
        <f>E5/F5</f>
        <v>215.55104166666666</v>
      </c>
    </row>
    <row r="6" spans="2:8" x14ac:dyDescent="0.2">
      <c r="B6">
        <v>2022</v>
      </c>
      <c r="C6" s="2">
        <v>922547000</v>
      </c>
      <c r="D6" s="2">
        <v>26200000</v>
      </c>
      <c r="E6" s="2">
        <f t="shared" ref="E6:E8" si="0">C6-C5</f>
        <v>286547000</v>
      </c>
      <c r="F6" s="2">
        <f t="shared" ref="F6:F8" si="1">D6-D5</f>
        <v>9780000</v>
      </c>
      <c r="G6" s="5">
        <f>ARPU!F6</f>
        <v>35.211717557251909</v>
      </c>
      <c r="H6" s="5">
        <f>E6/F6</f>
        <v>29.299284253578733</v>
      </c>
    </row>
    <row r="7" spans="2:8" x14ac:dyDescent="0.2">
      <c r="B7">
        <v>2023</v>
      </c>
      <c r="C7" s="2">
        <v>1797890000</v>
      </c>
      <c r="D7" s="2">
        <v>38000000</v>
      </c>
      <c r="E7" s="2">
        <f t="shared" si="0"/>
        <v>875343000</v>
      </c>
      <c r="F7" s="2">
        <f t="shared" si="1"/>
        <v>11800000</v>
      </c>
      <c r="G7" s="5">
        <f>ARPU!F7</f>
        <v>47.312894736842104</v>
      </c>
      <c r="H7" s="5">
        <f>E7/F7</f>
        <v>74.18161016949152</v>
      </c>
    </row>
    <row r="8" spans="2:8" x14ac:dyDescent="0.2">
      <c r="B8">
        <v>2024</v>
      </c>
      <c r="C8" s="2">
        <v>3090043000</v>
      </c>
      <c r="D8" s="2">
        <v>45000000</v>
      </c>
      <c r="E8" s="2">
        <f t="shared" si="0"/>
        <v>1292153000</v>
      </c>
      <c r="F8" s="2">
        <f t="shared" si="1"/>
        <v>7000000</v>
      </c>
      <c r="G8" s="5">
        <f>ARPU!F8</f>
        <v>68.667622222222221</v>
      </c>
      <c r="H8" s="5">
        <f>E8/F8</f>
        <v>184.59328571428571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A2864-6BD8-0948-9299-9576DA942A0D}">
  <dimension ref="B3:G8"/>
  <sheetViews>
    <sheetView zoomScale="92" workbookViewId="0">
      <selection activeCell="D15" sqref="D15"/>
    </sheetView>
  </sheetViews>
  <sheetFormatPr baseColWidth="10" defaultRowHeight="16" x14ac:dyDescent="0.2"/>
  <cols>
    <col min="3" max="3" width="12.6640625" bestFit="1" customWidth="1"/>
    <col min="4" max="4" width="17.6640625" bestFit="1" customWidth="1"/>
    <col min="5" max="5" width="8.6640625" bestFit="1" customWidth="1"/>
    <col min="6" max="6" width="13.6640625" bestFit="1" customWidth="1"/>
    <col min="7" max="7" width="15.5" bestFit="1" customWidth="1"/>
  </cols>
  <sheetData>
    <row r="3" spans="2:7" x14ac:dyDescent="0.2">
      <c r="B3" s="1" t="s">
        <v>1</v>
      </c>
      <c r="C3" s="1" t="s">
        <v>2</v>
      </c>
      <c r="D3" s="1" t="s">
        <v>4</v>
      </c>
      <c r="E3" s="1" t="s">
        <v>17</v>
      </c>
      <c r="F3" s="1" t="s">
        <v>18</v>
      </c>
      <c r="G3" s="1" t="s">
        <v>19</v>
      </c>
    </row>
    <row r="4" spans="2:7" x14ac:dyDescent="0.2">
      <c r="B4">
        <v>2020</v>
      </c>
      <c r="C4" s="2">
        <v>222142000</v>
      </c>
      <c r="D4" s="2">
        <v>225697000</v>
      </c>
      <c r="E4" t="s">
        <v>12</v>
      </c>
      <c r="F4" s="3">
        <f>D4/C4</f>
        <v>1.0160032771830632</v>
      </c>
      <c r="G4" s="3">
        <f>1-F4</f>
        <v>-1.6003277183063158E-2</v>
      </c>
    </row>
    <row r="5" spans="2:7" x14ac:dyDescent="0.2">
      <c r="B5">
        <v>2021</v>
      </c>
      <c r="C5" s="2">
        <v>636000000</v>
      </c>
      <c r="D5" s="2">
        <v>309000000</v>
      </c>
      <c r="E5" s="3">
        <f>D5/D4-1</f>
        <v>0.3690921899715105</v>
      </c>
      <c r="F5" s="3">
        <f t="shared" ref="F5:F8" si="0">D5/C5</f>
        <v>0.48584905660377359</v>
      </c>
      <c r="G5" s="3">
        <f t="shared" ref="G5:G8" si="1">1-F5</f>
        <v>0.51415094339622636</v>
      </c>
    </row>
    <row r="6" spans="2:7" x14ac:dyDescent="0.2">
      <c r="B6">
        <v>2022</v>
      </c>
      <c r="C6" s="2">
        <v>922547000</v>
      </c>
      <c r="D6" s="2">
        <v>667076000</v>
      </c>
      <c r="E6" s="3">
        <f t="shared" ref="E6:E8" si="2">D6/D5-1</f>
        <v>1.1588220064724921</v>
      </c>
      <c r="F6" s="3">
        <f t="shared" si="0"/>
        <v>0.72308077528841352</v>
      </c>
      <c r="G6" s="3">
        <f t="shared" si="1"/>
        <v>0.27691922471158648</v>
      </c>
    </row>
    <row r="7" spans="2:7" x14ac:dyDescent="0.2">
      <c r="B7">
        <v>2023</v>
      </c>
      <c r="C7" s="2">
        <v>1797890000</v>
      </c>
      <c r="D7" s="2">
        <v>932752000</v>
      </c>
      <c r="E7" s="3">
        <f t="shared" si="2"/>
        <v>0.39826946254999429</v>
      </c>
      <c r="F7" s="3">
        <f t="shared" si="0"/>
        <v>0.5188037087919728</v>
      </c>
      <c r="G7" s="3">
        <f t="shared" si="1"/>
        <v>0.4811962912080272</v>
      </c>
    </row>
    <row r="8" spans="2:7" x14ac:dyDescent="0.2">
      <c r="B8">
        <v>2024</v>
      </c>
      <c r="C8" s="2">
        <v>3090043000</v>
      </c>
      <c r="D8" s="2">
        <v>1400412000</v>
      </c>
      <c r="E8" s="3">
        <f t="shared" si="2"/>
        <v>0.50137657169322614</v>
      </c>
      <c r="F8" s="3">
        <f t="shared" si="0"/>
        <v>0.45320146030330322</v>
      </c>
      <c r="G8" s="3">
        <f t="shared" si="1"/>
        <v>0.54679853969669678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51BF6-B56A-F348-8DB7-EF9A3C177876}">
  <dimension ref="B3:G8"/>
  <sheetViews>
    <sheetView workbookViewId="0">
      <selection activeCell="H23" sqref="H23"/>
    </sheetView>
  </sheetViews>
  <sheetFormatPr baseColWidth="10" defaultRowHeight="16" x14ac:dyDescent="0.2"/>
  <cols>
    <col min="3" max="3" width="12.6640625" bestFit="1" customWidth="1"/>
    <col min="4" max="4" width="17.6640625" bestFit="1" customWidth="1"/>
    <col min="6" max="6" width="17.6640625" bestFit="1" customWidth="1"/>
    <col min="7" max="7" width="14.6640625" bestFit="1" customWidth="1"/>
  </cols>
  <sheetData>
    <row r="3" spans="2:7" x14ac:dyDescent="0.2">
      <c r="B3" s="1" t="s">
        <v>1</v>
      </c>
      <c r="C3" s="1" t="s">
        <v>2</v>
      </c>
      <c r="D3" s="1" t="s">
        <v>4</v>
      </c>
      <c r="E3" s="1" t="s">
        <v>7</v>
      </c>
      <c r="F3" s="1" t="s">
        <v>20</v>
      </c>
      <c r="G3" s="1" t="s">
        <v>21</v>
      </c>
    </row>
    <row r="4" spans="2:7" x14ac:dyDescent="0.2">
      <c r="B4">
        <v>2020</v>
      </c>
      <c r="C4" s="2">
        <v>222142000</v>
      </c>
      <c r="D4" s="2">
        <v>225697000</v>
      </c>
      <c r="E4" s="2">
        <v>2200</v>
      </c>
      <c r="F4" s="2">
        <f>C4/E4</f>
        <v>100973.63636363637</v>
      </c>
      <c r="G4" s="2">
        <f>D4/E4</f>
        <v>102589.54545454546</v>
      </c>
    </row>
    <row r="5" spans="2:7" x14ac:dyDescent="0.2">
      <c r="B5">
        <v>2021</v>
      </c>
      <c r="C5" s="2">
        <v>636000000</v>
      </c>
      <c r="D5" s="2">
        <v>309000000</v>
      </c>
      <c r="E5" s="2">
        <v>5000</v>
      </c>
      <c r="F5" s="2">
        <f t="shared" ref="F5:F8" si="0">C5/E5</f>
        <v>127200</v>
      </c>
      <c r="G5" s="2">
        <f t="shared" ref="G5:G8" si="1">D5/E5</f>
        <v>61800</v>
      </c>
    </row>
    <row r="6" spans="2:7" x14ac:dyDescent="0.2">
      <c r="B6">
        <v>2022</v>
      </c>
      <c r="C6" s="2">
        <v>922547000</v>
      </c>
      <c r="D6" s="2">
        <v>667076000</v>
      </c>
      <c r="E6" s="2">
        <v>5913</v>
      </c>
      <c r="F6" s="2">
        <f t="shared" si="0"/>
        <v>156020.12514797904</v>
      </c>
      <c r="G6" s="2">
        <f t="shared" si="1"/>
        <v>112815.15305259597</v>
      </c>
    </row>
    <row r="7" spans="2:7" x14ac:dyDescent="0.2">
      <c r="B7">
        <v>2023</v>
      </c>
      <c r="C7" s="2">
        <v>1797890000</v>
      </c>
      <c r="D7" s="2">
        <v>932752000</v>
      </c>
      <c r="E7" s="2">
        <v>8152</v>
      </c>
      <c r="F7" s="2">
        <f t="shared" si="0"/>
        <v>220545.87831207065</v>
      </c>
      <c r="G7" s="2">
        <f t="shared" si="1"/>
        <v>114420.01962708538</v>
      </c>
    </row>
    <row r="8" spans="2:7" x14ac:dyDescent="0.2">
      <c r="B8">
        <v>2024</v>
      </c>
      <c r="C8" s="2">
        <v>3090043000</v>
      </c>
      <c r="D8" s="2">
        <v>1400412000</v>
      </c>
      <c r="E8" s="2">
        <v>10000</v>
      </c>
      <c r="F8" s="2">
        <f t="shared" si="0"/>
        <v>309004.3</v>
      </c>
      <c r="G8" s="2">
        <f t="shared" si="1"/>
        <v>140041.20000000001</v>
      </c>
    </row>
  </sheetData>
  <pageMargins left="0.7" right="0.7" top="0.75" bottom="0.75" header="0.3" footer="0.3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EB222-21F7-DF42-B508-FCE57A8AB7DE}">
  <dimension ref="B3:C29"/>
  <sheetViews>
    <sheetView workbookViewId="0">
      <selection activeCell="H13" sqref="H13"/>
    </sheetView>
  </sheetViews>
  <sheetFormatPr baseColWidth="10" defaultRowHeight="16" x14ac:dyDescent="0.2"/>
  <cols>
    <col min="2" max="2" width="21.5" bestFit="1" customWidth="1"/>
    <col min="3" max="3" width="17.33203125" bestFit="1" customWidth="1"/>
  </cols>
  <sheetData>
    <row r="3" spans="2:3" x14ac:dyDescent="0.2">
      <c r="B3" s="1" t="s">
        <v>22</v>
      </c>
      <c r="C3" s="1" t="s">
        <v>23</v>
      </c>
    </row>
    <row r="4" spans="2:3" x14ac:dyDescent="0.2">
      <c r="B4" t="s">
        <v>24</v>
      </c>
      <c r="C4" s="2">
        <v>3090</v>
      </c>
    </row>
    <row r="5" spans="2:3" x14ac:dyDescent="0.2">
      <c r="B5" t="s">
        <v>25</v>
      </c>
      <c r="C5" t="s">
        <v>26</v>
      </c>
    </row>
    <row r="6" spans="2:3" x14ac:dyDescent="0.2">
      <c r="B6" s="1" t="s">
        <v>27</v>
      </c>
      <c r="C6" s="8">
        <v>24720</v>
      </c>
    </row>
    <row r="9" spans="2:3" x14ac:dyDescent="0.2">
      <c r="B9" s="1" t="s">
        <v>28</v>
      </c>
      <c r="C9" s="1" t="s">
        <v>29</v>
      </c>
    </row>
    <row r="10" spans="2:3" x14ac:dyDescent="0.2">
      <c r="B10" t="s">
        <v>30</v>
      </c>
      <c r="C10">
        <v>18.5</v>
      </c>
    </row>
    <row r="11" spans="2:3" x14ac:dyDescent="0.2">
      <c r="B11" t="s">
        <v>31</v>
      </c>
      <c r="C11">
        <v>24.7</v>
      </c>
    </row>
    <row r="12" spans="2:3" x14ac:dyDescent="0.2">
      <c r="B12" t="s">
        <v>32</v>
      </c>
      <c r="C12">
        <v>30.9</v>
      </c>
    </row>
    <row r="14" spans="2:3" ht="19" x14ac:dyDescent="0.25">
      <c r="B14" s="6" t="s">
        <v>38</v>
      </c>
    </row>
    <row r="15" spans="2:3" x14ac:dyDescent="0.2">
      <c r="B15" s="11" t="s">
        <v>43</v>
      </c>
      <c r="C15" s="2">
        <f>C18/10/C20</f>
        <v>10000000000</v>
      </c>
    </row>
    <row r="16" spans="2:3" x14ac:dyDescent="0.2">
      <c r="B16" s="11" t="s">
        <v>44</v>
      </c>
      <c r="C16" s="7">
        <f>(C15/Raw!C8)^(1/5)-1</f>
        <v>0.26475701062330104</v>
      </c>
    </row>
    <row r="18" spans="2:3" x14ac:dyDescent="0.2">
      <c r="B18" t="s">
        <v>33</v>
      </c>
      <c r="C18" s="2">
        <v>25000000000</v>
      </c>
    </row>
    <row r="19" spans="2:3" x14ac:dyDescent="0.2">
      <c r="B19" t="s">
        <v>34</v>
      </c>
      <c r="C19" s="2">
        <v>3100000000</v>
      </c>
    </row>
    <row r="20" spans="2:3" x14ac:dyDescent="0.2">
      <c r="B20" t="s">
        <v>35</v>
      </c>
      <c r="C20" s="9">
        <v>0.25</v>
      </c>
    </row>
    <row r="21" spans="2:3" x14ac:dyDescent="0.2">
      <c r="B21" t="s">
        <v>36</v>
      </c>
      <c r="C21" s="1">
        <v>5</v>
      </c>
    </row>
    <row r="22" spans="2:3" x14ac:dyDescent="0.2">
      <c r="B22" t="s">
        <v>37</v>
      </c>
      <c r="C22" s="9">
        <v>0.1</v>
      </c>
    </row>
    <row r="24" spans="2:3" ht="24" x14ac:dyDescent="0.3">
      <c r="B24" s="10" t="s">
        <v>39</v>
      </c>
    </row>
    <row r="26" spans="2:3" x14ac:dyDescent="0.2">
      <c r="B26" s="1" t="s">
        <v>22</v>
      </c>
      <c r="C26" s="1" t="s">
        <v>23</v>
      </c>
    </row>
    <row r="27" spans="2:3" x14ac:dyDescent="0.2">
      <c r="B27" t="s">
        <v>40</v>
      </c>
      <c r="C27">
        <v>45000000</v>
      </c>
    </row>
    <row r="28" spans="2:3" x14ac:dyDescent="0.2">
      <c r="B28" t="s">
        <v>41</v>
      </c>
      <c r="C28">
        <v>69</v>
      </c>
    </row>
    <row r="29" spans="2:3" x14ac:dyDescent="0.2">
      <c r="B29" t="s">
        <v>42</v>
      </c>
      <c r="C29" s="2">
        <v>3100000000</v>
      </c>
    </row>
  </sheetData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15DDD-41DB-4640-8D28-57330DCB103C}">
  <dimension ref="B3:H8"/>
  <sheetViews>
    <sheetView workbookViewId="0">
      <selection activeCell="M22" sqref="M22"/>
    </sheetView>
  </sheetViews>
  <sheetFormatPr baseColWidth="10" defaultRowHeight="16" x14ac:dyDescent="0.2"/>
  <cols>
    <col min="2" max="2" width="7.6640625" customWidth="1"/>
    <col min="3" max="3" width="12.6640625" bestFit="1" customWidth="1"/>
    <col min="4" max="4" width="14.1640625" bestFit="1" customWidth="1"/>
    <col min="6" max="6" width="12.6640625" bestFit="1" customWidth="1"/>
    <col min="7" max="7" width="16.33203125" bestFit="1" customWidth="1"/>
    <col min="8" max="8" width="22" customWidth="1"/>
  </cols>
  <sheetData>
    <row r="3" spans="2:8" x14ac:dyDescent="0.2">
      <c r="B3" s="1" t="s">
        <v>1</v>
      </c>
      <c r="C3" s="1" t="s">
        <v>2</v>
      </c>
      <c r="D3" s="1" t="s">
        <v>45</v>
      </c>
      <c r="E3" s="1" t="s">
        <v>46</v>
      </c>
      <c r="F3" s="1" t="s">
        <v>47</v>
      </c>
      <c r="G3" s="1" t="s">
        <v>48</v>
      </c>
      <c r="H3" s="1" t="s">
        <v>49</v>
      </c>
    </row>
    <row r="4" spans="2:8" x14ac:dyDescent="0.2">
      <c r="B4">
        <v>2020</v>
      </c>
      <c r="C4" s="2">
        <v>222142</v>
      </c>
      <c r="D4" s="2">
        <v>-200649</v>
      </c>
      <c r="E4" s="8">
        <v>-126222</v>
      </c>
      <c r="F4" s="2">
        <v>2195162</v>
      </c>
      <c r="G4">
        <f>E4/C4</f>
        <v>-0.56820412168792933</v>
      </c>
      <c r="H4" s="3" t="e">
        <f>IF(D4&gt;0,E4/D4,NA())</f>
        <v>#N/A</v>
      </c>
    </row>
    <row r="5" spans="2:8" x14ac:dyDescent="0.2">
      <c r="B5">
        <v>2021</v>
      </c>
      <c r="C5" s="2">
        <v>636000</v>
      </c>
      <c r="D5" s="2">
        <v>59091</v>
      </c>
      <c r="E5" s="8">
        <v>150980</v>
      </c>
      <c r="F5" s="2">
        <v>2764283</v>
      </c>
      <c r="G5">
        <f t="shared" ref="G5:G8" si="0">E5/C5</f>
        <v>0.23738993710691825</v>
      </c>
      <c r="H5" s="3">
        <f t="shared" ref="H5:H8" si="1">IF(D5&gt;0,E5/D5,NA())</f>
        <v>2.5550422230119647</v>
      </c>
    </row>
    <row r="6" spans="2:8" x14ac:dyDescent="0.2">
      <c r="B6">
        <v>2022</v>
      </c>
      <c r="C6" s="2">
        <v>922547</v>
      </c>
      <c r="D6" s="2">
        <v>-25418</v>
      </c>
      <c r="E6" s="8">
        <v>-107932</v>
      </c>
      <c r="F6" s="2">
        <v>4760661</v>
      </c>
      <c r="G6">
        <f t="shared" si="0"/>
        <v>-0.1169934973502705</v>
      </c>
      <c r="H6" s="3" t="e">
        <f t="shared" si="1"/>
        <v>#N/A</v>
      </c>
    </row>
    <row r="7" spans="2:8" x14ac:dyDescent="0.2">
      <c r="B7">
        <v>2023</v>
      </c>
      <c r="C7" s="2">
        <v>1797890</v>
      </c>
      <c r="D7" s="2">
        <v>437828</v>
      </c>
      <c r="E7" s="8">
        <v>593529</v>
      </c>
      <c r="F7" s="2">
        <v>2955169</v>
      </c>
      <c r="G7">
        <f t="shared" si="0"/>
        <v>0.3301253135620088</v>
      </c>
      <c r="H7" s="3">
        <f t="shared" si="1"/>
        <v>1.355621385566935</v>
      </c>
    </row>
    <row r="8" spans="2:8" x14ac:dyDescent="0.2">
      <c r="B8">
        <v>2024</v>
      </c>
      <c r="C8" s="2">
        <v>3090043</v>
      </c>
      <c r="D8" s="2">
        <v>1088730</v>
      </c>
      <c r="E8" s="8">
        <v>1504941</v>
      </c>
      <c r="F8" s="2">
        <v>8123558</v>
      </c>
      <c r="G8">
        <f t="shared" si="0"/>
        <v>0.48702914490186705</v>
      </c>
      <c r="H8" s="3">
        <f t="shared" si="1"/>
        <v>1.3822903750241107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Raw</vt:lpstr>
      <vt:lpstr>Growth</vt:lpstr>
      <vt:lpstr>ARPU</vt:lpstr>
      <vt:lpstr>Incremental</vt:lpstr>
      <vt:lpstr>Costs</vt:lpstr>
      <vt:lpstr>Unit Economics</vt:lpstr>
      <vt:lpstr>Valuation</vt:lpstr>
      <vt:lpstr>Cash_Flow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Егор Зубков</dc:creator>
  <cp:lastModifiedBy>Егор Зубков</cp:lastModifiedBy>
  <dcterms:created xsi:type="dcterms:W3CDTF">2025-12-23T14:27:06Z</dcterms:created>
  <dcterms:modified xsi:type="dcterms:W3CDTF">2025-12-24T13:54:08Z</dcterms:modified>
</cp:coreProperties>
</file>