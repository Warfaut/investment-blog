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gorzubkov/Desktop/ДЗ Adyen/День 1/Для GitHub/"/>
    </mc:Choice>
  </mc:AlternateContent>
  <xr:revisionPtr revIDLastSave="0" documentId="8_{FC3F4A14-D061-8348-9231-EECB40B8DDEE}" xr6:coauthVersionLast="47" xr6:coauthVersionMax="47" xr10:uidLastSave="{00000000-0000-0000-0000-000000000000}"/>
  <bookViews>
    <workbookView xWindow="0" yWindow="680" windowWidth="34200" windowHeight="21460" activeTab="2" xr2:uid="{4830E6CB-4922-A84B-8FB8-731B05BB6171}"/>
  </bookViews>
  <sheets>
    <sheet name="P&amp;L Summary" sheetId="1" r:id="rId1"/>
    <sheet name="FCF Forecast" sheetId="2" r:id="rId2"/>
    <sheet name="DCF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" i="4" l="1"/>
  <c r="C21" i="4"/>
  <c r="C32" i="4" s="1"/>
  <c r="C40" i="4" s="1"/>
  <c r="D42" i="4"/>
  <c r="E42" i="4"/>
  <c r="C43" i="4"/>
  <c r="C44" i="4"/>
  <c r="D40" i="4"/>
  <c r="E40" i="4"/>
  <c r="C33" i="4"/>
  <c r="C41" i="4" s="1"/>
  <c r="D33" i="4"/>
  <c r="D41" i="4" s="1"/>
  <c r="E33" i="4"/>
  <c r="E41" i="4" s="1"/>
  <c r="C34" i="4"/>
  <c r="C42" i="4" s="1"/>
  <c r="D34" i="4"/>
  <c r="E34" i="4"/>
  <c r="C35" i="4"/>
  <c r="D35" i="4"/>
  <c r="D43" i="4" s="1"/>
  <c r="E35" i="4"/>
  <c r="E43" i="4" s="1"/>
  <c r="C36" i="4"/>
  <c r="D36" i="4"/>
  <c r="D44" i="4" s="1"/>
  <c r="E36" i="4"/>
  <c r="E44" i="4" s="1"/>
  <c r="D32" i="4"/>
  <c r="E32" i="4"/>
  <c r="E4" i="4"/>
  <c r="E21" i="4"/>
  <c r="D22" i="4"/>
  <c r="E22" i="4"/>
  <c r="D23" i="4"/>
  <c r="E23" i="4"/>
  <c r="D24" i="4"/>
  <c r="E24" i="4"/>
  <c r="D25" i="4"/>
  <c r="E25" i="4"/>
  <c r="D21" i="4"/>
  <c r="C25" i="4"/>
  <c r="C24" i="4"/>
  <c r="C22" i="4"/>
  <c r="B15" i="4"/>
  <c r="H21" i="4" s="1"/>
  <c r="H25" i="4" s="1"/>
  <c r="B11" i="4"/>
  <c r="D5" i="4"/>
  <c r="E5" i="4" s="1"/>
  <c r="D6" i="4"/>
  <c r="E6" i="4" s="1"/>
  <c r="D7" i="4"/>
  <c r="E7" i="4" s="1"/>
  <c r="D4" i="4"/>
  <c r="J23" i="2"/>
  <c r="J24" i="2"/>
  <c r="J25" i="2"/>
  <c r="J22" i="2"/>
  <c r="I23" i="2"/>
  <c r="I24" i="2"/>
  <c r="I25" i="2"/>
  <c r="I22" i="2"/>
  <c r="G23" i="2"/>
  <c r="G24" i="2"/>
  <c r="G25" i="2"/>
  <c r="G22" i="2"/>
  <c r="F23" i="2"/>
  <c r="F24" i="2"/>
  <c r="F25" i="2"/>
  <c r="F22" i="2"/>
  <c r="E23" i="2"/>
  <c r="E24" i="2"/>
  <c r="E25" i="2"/>
  <c r="E22" i="2"/>
  <c r="D23" i="2"/>
  <c r="D24" i="2"/>
  <c r="D25" i="2"/>
  <c r="D22" i="2"/>
  <c r="C23" i="2"/>
  <c r="C24" i="2"/>
  <c r="C25" i="2"/>
  <c r="C22" i="2"/>
  <c r="D19" i="1"/>
  <c r="E19" i="1"/>
  <c r="F19" i="1"/>
  <c r="G19" i="1"/>
  <c r="C19" i="1"/>
  <c r="G15" i="1"/>
  <c r="G16" i="1"/>
  <c r="G17" i="1"/>
  <c r="G18" i="1"/>
  <c r="G14" i="1"/>
  <c r="F15" i="1"/>
  <c r="F16" i="1"/>
  <c r="F17" i="1"/>
  <c r="F18" i="1"/>
  <c r="F14" i="1"/>
  <c r="E15" i="1"/>
  <c r="E16" i="1"/>
  <c r="E17" i="1"/>
  <c r="E18" i="1"/>
  <c r="E14" i="1"/>
  <c r="D15" i="1"/>
  <c r="D16" i="1"/>
  <c r="D17" i="1"/>
  <c r="D18" i="1"/>
  <c r="D14" i="1"/>
  <c r="C15" i="1"/>
  <c r="C16" i="1"/>
  <c r="C17" i="1"/>
  <c r="C18" i="1"/>
  <c r="C14" i="1"/>
  <c r="B13" i="4" l="1"/>
</calcChain>
</file>

<file path=xl/sharedStrings.xml><?xml version="1.0" encoding="utf-8"?>
<sst xmlns="http://schemas.openxmlformats.org/spreadsheetml/2006/main" count="119" uniqueCount="83">
  <si>
    <t>H1 2025</t>
  </si>
  <si>
    <t>Year</t>
  </si>
  <si>
    <t>Revenue</t>
  </si>
  <si>
    <t>EBITDA</t>
  </si>
  <si>
    <t>EBIT</t>
  </si>
  <si>
    <t>D&amp;A</t>
  </si>
  <si>
    <t>CapEx</t>
  </si>
  <si>
    <t>FCF</t>
  </si>
  <si>
    <t>2020–2025 H1: actual data (from Annual Reports)</t>
  </si>
  <si>
    <t>Historical Margins Table (Adyen)</t>
  </si>
  <si>
    <t>FCF/EBITDA</t>
  </si>
  <si>
    <t>EBITDA %</t>
  </si>
  <si>
    <t>EBIT %</t>
  </si>
  <si>
    <t>D&amp;A %</t>
  </si>
  <si>
    <t>CapEx %</t>
  </si>
  <si>
    <t>YoY</t>
  </si>
  <si>
    <t>—</t>
  </si>
  <si>
    <t>Revenue (€m)</t>
  </si>
  <si>
    <t>Historical basis (fact)</t>
  </si>
  <si>
    <t>Growth</t>
  </si>
  <si>
    <t>2026E</t>
  </si>
  <si>
    <t>2027E</t>
  </si>
  <si>
    <t>нормализация</t>
  </si>
  <si>
    <t>2028E</t>
  </si>
  <si>
    <t>mature growth</t>
  </si>
  <si>
    <t>scale + share gains</t>
  </si>
  <si>
    <t>Reason</t>
  </si>
  <si>
    <t>Base Case Growth Assumptions</t>
  </si>
  <si>
    <t>2024A</t>
  </si>
  <si>
    <t>2025E</t>
  </si>
  <si>
    <t>Revenue_2026 = Revenue_2025 * (1 + 15%)</t>
  </si>
  <si>
    <t>Revenue_2027 = Revenue_2026 * (1 + 13%)</t>
  </si>
  <si>
    <t>Revenue_2028 = Revenue_2027 * (1 + 11%)</t>
  </si>
  <si>
    <t>AVG</t>
  </si>
  <si>
    <t>Cash Taxes</t>
  </si>
  <si>
    <t>ΔWorking Capital</t>
  </si>
  <si>
    <t>FCF (€m)</t>
  </si>
  <si>
    <t>WACC</t>
  </si>
  <si>
    <t>g</t>
  </si>
  <si>
    <t>Base year</t>
  </si>
  <si>
    <t>Parameter</t>
  </si>
  <si>
    <t>Value</t>
  </si>
  <si>
    <t>t</t>
  </si>
  <si>
    <t>DF</t>
  </si>
  <si>
    <t>PV FCF (€m)</t>
  </si>
  <si>
    <t>Terminal Value (Gordon Growth)</t>
  </si>
  <si>
    <t>PV of TV</t>
  </si>
  <si>
    <t>Enterprise Value (EV)</t>
  </si>
  <si>
    <t>Sensitivity Analysis — EV (WACC × g)</t>
  </si>
  <si>
    <t>WACC \ g</t>
  </si>
  <si>
    <t>Cash &amp; cash equivalents + short-term investments</t>
  </si>
  <si>
    <t>Equity Value</t>
  </si>
  <si>
    <t>Shares outstanding</t>
  </si>
  <si>
    <t>Price per share</t>
  </si>
  <si>
    <t>DCF Sensitivity (WACC × g)</t>
  </si>
  <si>
    <t>Equity Value (€m)</t>
  </si>
  <si>
    <t>Price per share (€)</t>
  </si>
  <si>
    <t>Based on a DCF valuation using a base-case WACC of 8.8% and terminal growth of 2.5%, Adyen’s intrinsic equity value is estimated at approximately €750 per share. This implies that the stock currently trades at a significant premium to our base-case valuation, reflecting either more optimistic long-term growth assumptions or a structurally lower cost of capital priced in by the market.</t>
  </si>
  <si>
    <t>Scenario</t>
  </si>
  <si>
    <t>Price (€)</t>
  </si>
  <si>
    <t>Upside / Downside</t>
  </si>
  <si>
    <t>Bear</t>
  </si>
  <si>
    <t>~678</t>
  </si>
  <si>
    <t>–56%</t>
  </si>
  <si>
    <t>Base</t>
  </si>
  <si>
    <t>~750</t>
  </si>
  <si>
    <t>–51%</t>
  </si>
  <si>
    <t>Bull</t>
  </si>
  <si>
    <t>~867</t>
  </si>
  <si>
    <t>–43%</t>
  </si>
  <si>
    <t>Market implied</t>
  </si>
  <si>
    <t>~?</t>
  </si>
  <si>
    <t>🔹 A) Market assumes much higher long-term growth
	•	g скорее 3.5–4.0%, а не 2.5%
	•	Adyen = “compounder for decades”
🔹 B) Market prices lower WACC
	•	perceived risk ↓
	•	quasi-infrastructure payments asset
	•	WACC ближе к 7–7.5%
🔹 C) DCF does not capture optionality
	•	embedded finance
	•	platform economics
	•	operating leverage beyond explicit forecast</t>
  </si>
  <si>
    <t>Implied EV</t>
  </si>
  <si>
    <t>~21.8</t>
  </si>
  <si>
    <t>~27–29</t>
  </si>
  <si>
    <t>~35</t>
  </si>
  <si>
    <t>6.6–6.8%</t>
  </si>
  <si>
    <t>~41</t>
  </si>
  <si>
    <t>~24</t>
  </si>
  <si>
    <t>~32</t>
  </si>
  <si>
    <t>6.0–6.5%</t>
  </si>
  <si>
    <t>A reverse DCF analysis suggests that Adyen’s current market valuation implies either a structurally lower cost of capital (c. 6.5–7.0%) or a significantly higher long-term growth rate well above nominal GDP. This highlights that the market is pricing in extremely optimistic long-term assumptions, leaving limited margin of safety under a fundamental base-case scenario.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</si>
</sst>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72" formatCode="0.000"/>
    <numFmt numFmtId="173" formatCode="0.0"/>
  </numFmts>
  <fonts count="11">
    <font>
      <sz val="12"/>
      <color theme="1"/>
      <name val="Aptos Narrow"/>
      <family val="2"/>
      <charset val="204"/>
      <scheme val="minor"/>
    </font>
    <font>
      <sz val="12"/>
      <color theme="1"/>
      <name val="Aptos Narrow"/>
      <family val="2"/>
      <charset val="204"/>
      <scheme val="minor"/>
    </font>
    <font>
      <sz val="12"/>
      <color rgb="FF000000"/>
      <name val="Aptos Narrow"/>
      <family val="2"/>
      <charset val="204"/>
      <scheme val="minor"/>
    </font>
    <font>
      <b/>
      <sz val="12"/>
      <color theme="1"/>
      <name val="Aptos Narrow"/>
      <family val="2"/>
      <charset val="204"/>
      <scheme val="minor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  <font>
      <b/>
      <sz val="13.5"/>
      <color theme="1"/>
      <name val="Aptos Narrow"/>
      <family val="2"/>
      <charset val="204"/>
      <scheme val="minor"/>
    </font>
    <font>
      <b/>
      <sz val="16"/>
      <color theme="1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  <font>
      <sz val="14"/>
      <color rgb="FF0E0E0E"/>
      <name val=".AppleSystemUIFont"/>
    </font>
    <font>
      <b/>
      <sz val="14"/>
      <color rgb="FF000000"/>
      <name val="-webkit-standard"/>
      <charset val="204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49992370372631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8">
    <xf numFmtId="0" fontId="0" fillId="0" borderId="0" xfId="0"/>
    <xf numFmtId="3" fontId="0" fillId="0" borderId="0" xfId="0" applyNumberFormat="1"/>
    <xf numFmtId="9" fontId="0" fillId="0" borderId="0" xfId="0" applyNumberFormat="1"/>
    <xf numFmtId="0" fontId="3" fillId="0" borderId="0" xfId="0" applyFont="1"/>
    <xf numFmtId="2" fontId="0" fillId="0" borderId="0" xfId="0" applyNumberFormat="1"/>
    <xf numFmtId="1" fontId="0" fillId="0" borderId="0" xfId="0" applyNumberFormat="1"/>
    <xf numFmtId="0" fontId="6" fillId="0" borderId="0" xfId="0" applyFont="1"/>
    <xf numFmtId="0" fontId="7" fillId="0" borderId="0" xfId="0" applyFont="1"/>
    <xf numFmtId="0" fontId="0" fillId="0" borderId="4" xfId="0" applyBorder="1"/>
    <xf numFmtId="3" fontId="0" fillId="0" borderId="4" xfId="0" applyNumberFormat="1" applyBorder="1"/>
    <xf numFmtId="0" fontId="2" fillId="0" borderId="4" xfId="0" applyFont="1" applyBorder="1" applyAlignment="1">
      <alignment horizontal="right"/>
    </xf>
    <xf numFmtId="3" fontId="2" fillId="0" borderId="4" xfId="0" applyNumberFormat="1" applyFont="1" applyBorder="1"/>
    <xf numFmtId="0" fontId="2" fillId="0" borderId="4" xfId="0" applyFont="1" applyBorder="1"/>
    <xf numFmtId="0" fontId="0" fillId="2" borderId="4" xfId="0" applyFill="1" applyBorder="1"/>
    <xf numFmtId="164" fontId="0" fillId="0" borderId="4" xfId="1" applyNumberFormat="1" applyFont="1" applyBorder="1"/>
    <xf numFmtId="0" fontId="0" fillId="0" borderId="8" xfId="0" applyBorder="1"/>
    <xf numFmtId="0" fontId="0" fillId="0" borderId="9" xfId="0" applyBorder="1"/>
    <xf numFmtId="164" fontId="0" fillId="0" borderId="9" xfId="1" applyNumberFormat="1" applyFont="1" applyBorder="1"/>
    <xf numFmtId="0" fontId="2" fillId="0" borderId="10" xfId="0" applyFont="1" applyBorder="1" applyAlignment="1">
      <alignment horizontal="right"/>
    </xf>
    <xf numFmtId="164" fontId="0" fillId="0" borderId="11" xfId="0" applyNumberFormat="1" applyBorder="1"/>
    <xf numFmtId="164" fontId="0" fillId="0" borderId="12" xfId="0" applyNumberFormat="1" applyBorder="1"/>
    <xf numFmtId="0" fontId="0" fillId="5" borderId="8" xfId="0" applyFill="1" applyBorder="1"/>
    <xf numFmtId="0" fontId="0" fillId="5" borderId="4" xfId="0" applyFill="1" applyBorder="1"/>
    <xf numFmtId="0" fontId="0" fillId="5" borderId="9" xfId="0" applyFill="1" applyBorder="1"/>
    <xf numFmtId="9" fontId="0" fillId="0" borderId="4" xfId="0" applyNumberFormat="1" applyBorder="1"/>
    <xf numFmtId="0" fontId="0" fillId="0" borderId="4" xfId="0" applyBorder="1" applyAlignment="1">
      <alignment horizontal="right"/>
    </xf>
    <xf numFmtId="0" fontId="0" fillId="0" borderId="13" xfId="0" applyBorder="1"/>
    <xf numFmtId="9" fontId="0" fillId="0" borderId="9" xfId="0" applyNumberFormat="1" applyBorder="1"/>
    <xf numFmtId="0" fontId="0" fillId="0" borderId="10" xfId="0" applyBorder="1" applyAlignment="1">
      <alignment horizontal="right"/>
    </xf>
    <xf numFmtId="3" fontId="0" fillId="0" borderId="11" xfId="0" applyNumberFormat="1" applyBorder="1"/>
    <xf numFmtId="9" fontId="0" fillId="0" borderId="12" xfId="0" applyNumberFormat="1" applyBorder="1"/>
    <xf numFmtId="0" fontId="10" fillId="3" borderId="19" xfId="0" applyFont="1" applyFill="1" applyBorder="1" applyAlignment="1">
      <alignment horizontal="left" vertical="center"/>
    </xf>
    <xf numFmtId="0" fontId="10" fillId="3" borderId="20" xfId="0" applyFont="1" applyFill="1" applyBorder="1" applyAlignment="1">
      <alignment horizontal="left" vertical="center"/>
    </xf>
    <xf numFmtId="0" fontId="10" fillId="3" borderId="21" xfId="0" applyFont="1" applyFill="1" applyBorder="1" applyAlignment="1">
      <alignment horizontal="left" vertical="center"/>
    </xf>
    <xf numFmtId="0" fontId="5" fillId="3" borderId="19" xfId="0" applyFont="1" applyFill="1" applyBorder="1" applyAlignment="1">
      <alignment horizontal="left"/>
    </xf>
    <xf numFmtId="0" fontId="5" fillId="3" borderId="20" xfId="0" applyFont="1" applyFill="1" applyBorder="1" applyAlignment="1">
      <alignment horizontal="left"/>
    </xf>
    <xf numFmtId="0" fontId="5" fillId="3" borderId="21" xfId="0" applyFont="1" applyFill="1" applyBorder="1" applyAlignment="1">
      <alignment horizontal="left"/>
    </xf>
    <xf numFmtId="0" fontId="5" fillId="4" borderId="1" xfId="0" applyFont="1" applyFill="1" applyBorder="1" applyAlignment="1">
      <alignment horizontal="left"/>
    </xf>
    <xf numFmtId="0" fontId="5" fillId="4" borderId="2" xfId="0" applyFont="1" applyFill="1" applyBorder="1" applyAlignment="1">
      <alignment horizontal="left"/>
    </xf>
    <xf numFmtId="0" fontId="5" fillId="4" borderId="3" xfId="0" applyFont="1" applyFill="1" applyBorder="1" applyAlignment="1">
      <alignment horizontal="left"/>
    </xf>
    <xf numFmtId="0" fontId="0" fillId="5" borderId="17" xfId="0" applyFill="1" applyBorder="1"/>
    <xf numFmtId="0" fontId="0" fillId="5" borderId="13" xfId="0" applyFill="1" applyBorder="1"/>
    <xf numFmtId="0" fontId="0" fillId="5" borderId="18" xfId="0" applyFill="1" applyBorder="1"/>
    <xf numFmtId="0" fontId="10" fillId="3" borderId="1" xfId="0" applyFont="1" applyFill="1" applyBorder="1" applyAlignment="1">
      <alignment horizontal="left"/>
    </xf>
    <xf numFmtId="0" fontId="10" fillId="3" borderId="2" xfId="0" applyFont="1" applyFill="1" applyBorder="1" applyAlignment="1">
      <alignment horizontal="left"/>
    </xf>
    <xf numFmtId="0" fontId="10" fillId="3" borderId="3" xfId="0" applyFont="1" applyFill="1" applyBorder="1" applyAlignment="1">
      <alignment horizontal="left"/>
    </xf>
    <xf numFmtId="0" fontId="0" fillId="2" borderId="13" xfId="0" applyFill="1" applyBorder="1"/>
    <xf numFmtId="0" fontId="0" fillId="0" borderId="4" xfId="0" applyBorder="1" applyAlignment="1">
      <alignment horizontal="center"/>
    </xf>
    <xf numFmtId="2" fontId="0" fillId="0" borderId="4" xfId="0" applyNumberFormat="1" applyBorder="1"/>
    <xf numFmtId="1" fontId="0" fillId="0" borderId="4" xfId="0" applyNumberFormat="1" applyBorder="1"/>
    <xf numFmtId="2" fontId="0" fillId="0" borderId="11" xfId="0" applyNumberFormat="1" applyBorder="1"/>
    <xf numFmtId="0" fontId="0" fillId="0" borderId="11" xfId="0" applyBorder="1"/>
    <xf numFmtId="0" fontId="4" fillId="2" borderId="4" xfId="0" applyFont="1" applyFill="1" applyBorder="1"/>
    <xf numFmtId="0" fontId="3" fillId="0" borderId="4" xfId="0" applyFont="1" applyBorder="1"/>
    <xf numFmtId="172" fontId="0" fillId="0" borderId="4" xfId="0" applyNumberFormat="1" applyBorder="1"/>
    <xf numFmtId="0" fontId="5" fillId="2" borderId="4" xfId="0" applyFont="1" applyFill="1" applyBorder="1"/>
    <xf numFmtId="0" fontId="3" fillId="2" borderId="4" xfId="0" applyFont="1" applyFill="1" applyBorder="1"/>
    <xf numFmtId="10" fontId="0" fillId="0" borderId="4" xfId="0" applyNumberFormat="1" applyBorder="1"/>
    <xf numFmtId="9" fontId="0" fillId="0" borderId="4" xfId="1" applyFont="1" applyBorder="1" applyAlignment="1">
      <alignment horizontal="right"/>
    </xf>
    <xf numFmtId="164" fontId="0" fillId="0" borderId="4" xfId="1" applyNumberFormat="1" applyFont="1" applyBorder="1" applyAlignment="1">
      <alignment horizontal="right"/>
    </xf>
    <xf numFmtId="9" fontId="0" fillId="0" borderId="8" xfId="1" applyFont="1" applyBorder="1" applyAlignment="1">
      <alignment horizontal="right"/>
    </xf>
    <xf numFmtId="2" fontId="0" fillId="0" borderId="9" xfId="0" applyNumberFormat="1" applyBorder="1"/>
    <xf numFmtId="164" fontId="0" fillId="0" borderId="8" xfId="1" applyNumberFormat="1" applyFont="1" applyBorder="1" applyAlignment="1">
      <alignment horizontal="right"/>
    </xf>
    <xf numFmtId="164" fontId="0" fillId="0" borderId="10" xfId="1" applyNumberFormat="1" applyFont="1" applyBorder="1" applyAlignment="1">
      <alignment horizontal="right"/>
    </xf>
    <xf numFmtId="2" fontId="0" fillId="0" borderId="12" xfId="0" applyNumberFormat="1" applyBorder="1"/>
    <xf numFmtId="0" fontId="3" fillId="2" borderId="5" xfId="0" applyFont="1" applyFill="1" applyBorder="1"/>
    <xf numFmtId="9" fontId="3" fillId="2" borderId="6" xfId="0" applyNumberFormat="1" applyFont="1" applyFill="1" applyBorder="1"/>
    <xf numFmtId="164" fontId="5" fillId="2" borderId="6" xfId="1" applyNumberFormat="1" applyFont="1" applyFill="1" applyBorder="1" applyAlignment="1">
      <alignment horizontal="right"/>
    </xf>
    <xf numFmtId="9" fontId="5" fillId="2" borderId="7" xfId="0" applyNumberFormat="1" applyFont="1" applyFill="1" applyBorder="1"/>
    <xf numFmtId="9" fontId="3" fillId="2" borderId="4" xfId="0" applyNumberFormat="1" applyFont="1" applyFill="1" applyBorder="1"/>
    <xf numFmtId="164" fontId="5" fillId="2" borderId="4" xfId="1" applyNumberFormat="1" applyFont="1" applyFill="1" applyBorder="1" applyAlignment="1">
      <alignment horizontal="right"/>
    </xf>
    <xf numFmtId="9" fontId="5" fillId="2" borderId="4" xfId="0" applyNumberFormat="1" applyFont="1" applyFill="1" applyBorder="1"/>
    <xf numFmtId="0" fontId="4" fillId="0" borderId="4" xfId="0" applyFont="1" applyBorder="1" applyAlignment="1">
      <alignment horizontal="right"/>
    </xf>
    <xf numFmtId="173" fontId="0" fillId="0" borderId="4" xfId="0" applyNumberFormat="1" applyBorder="1"/>
    <xf numFmtId="0" fontId="3" fillId="2" borderId="17" xfId="0" applyFont="1" applyFill="1" applyBorder="1"/>
    <xf numFmtId="9" fontId="3" fillId="2" borderId="13" xfId="0" applyNumberFormat="1" applyFont="1" applyFill="1" applyBorder="1"/>
    <xf numFmtId="164" fontId="5" fillId="2" borderId="13" xfId="1" applyNumberFormat="1" applyFont="1" applyFill="1" applyBorder="1" applyAlignment="1">
      <alignment horizontal="right"/>
    </xf>
    <xf numFmtId="9" fontId="5" fillId="2" borderId="18" xfId="0" applyNumberFormat="1" applyFont="1" applyFill="1" applyBorder="1"/>
    <xf numFmtId="0" fontId="6" fillId="0" borderId="1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3" xfId="0" applyFont="1" applyBorder="1" applyAlignment="1">
      <alignment horizontal="left"/>
    </xf>
    <xf numFmtId="10" fontId="0" fillId="0" borderId="13" xfId="0" applyNumberFormat="1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10" fontId="0" fillId="0" borderId="4" xfId="0" applyNumberFormat="1" applyBorder="1" applyAlignment="1">
      <alignment horizontal="right"/>
    </xf>
    <xf numFmtId="10" fontId="0" fillId="0" borderId="8" xfId="0" applyNumberFormat="1" applyBorder="1"/>
    <xf numFmtId="0" fontId="0" fillId="0" borderId="9" xfId="0" applyBorder="1" applyAlignment="1">
      <alignment horizontal="right"/>
    </xf>
    <xf numFmtId="0" fontId="3" fillId="0" borderId="10" xfId="0" applyFont="1" applyBorder="1"/>
    <xf numFmtId="0" fontId="3" fillId="0" borderId="11" xfId="0" applyFont="1" applyBorder="1" applyAlignment="1">
      <alignment horizontal="right"/>
    </xf>
    <xf numFmtId="0" fontId="3" fillId="0" borderId="12" xfId="0" applyFont="1" applyBorder="1" applyAlignment="1">
      <alignment horizontal="right"/>
    </xf>
    <xf numFmtId="0" fontId="3" fillId="2" borderId="6" xfId="0" applyFont="1" applyFill="1" applyBorder="1"/>
    <xf numFmtId="0" fontId="0" fillId="2" borderId="6" xfId="0" applyFill="1" applyBorder="1"/>
    <xf numFmtId="0" fontId="3" fillId="2" borderId="7" xfId="0" applyFont="1" applyFill="1" applyBorder="1"/>
    <xf numFmtId="0" fontId="9" fillId="6" borderId="0" xfId="0" applyFont="1" applyFill="1" applyAlignment="1">
      <alignment horizontal="left" vertical="center" wrapText="1"/>
    </xf>
    <xf numFmtId="0" fontId="0" fillId="6" borderId="0" xfId="0" applyFill="1" applyAlignment="1">
      <alignment vertical="center" wrapText="1"/>
    </xf>
    <xf numFmtId="0" fontId="9" fillId="6" borderId="0" xfId="0" applyFont="1" applyFill="1" applyAlignment="1">
      <alignment horizontal="center" vertical="center" wrapText="1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733D1-13C7-CE4D-80DC-DF2F6B7813A8}">
  <dimension ref="B1:H28"/>
  <sheetViews>
    <sheetView workbookViewId="0">
      <selection activeCell="F35" sqref="F35"/>
    </sheetView>
  </sheetViews>
  <sheetFormatPr baseColWidth="10" defaultRowHeight="16"/>
  <cols>
    <col min="3" max="3" width="12.1640625" bestFit="1" customWidth="1"/>
    <col min="4" max="4" width="16.33203125" bestFit="1" customWidth="1"/>
  </cols>
  <sheetData>
    <row r="1" spans="2:8" ht="17" thickBot="1"/>
    <row r="2" spans="2:8" ht="18">
      <c r="B2" s="31" t="s">
        <v>8</v>
      </c>
      <c r="C2" s="32"/>
      <c r="D2" s="32"/>
      <c r="E2" s="32"/>
      <c r="F2" s="32"/>
      <c r="G2" s="32"/>
      <c r="H2" s="33"/>
    </row>
    <row r="3" spans="2:8">
      <c r="B3" s="13" t="s">
        <v>1</v>
      </c>
      <c r="C3" s="13" t="s">
        <v>2</v>
      </c>
      <c r="D3" s="13" t="s">
        <v>3</v>
      </c>
      <c r="E3" s="13" t="s">
        <v>4</v>
      </c>
      <c r="F3" s="13" t="s">
        <v>5</v>
      </c>
      <c r="G3" s="13" t="s">
        <v>6</v>
      </c>
      <c r="H3" s="13" t="s">
        <v>7</v>
      </c>
    </row>
    <row r="4" spans="2:8">
      <c r="B4" s="8">
        <v>2020</v>
      </c>
      <c r="C4" s="8">
        <v>684</v>
      </c>
      <c r="D4" s="8">
        <v>402</v>
      </c>
      <c r="E4" s="8">
        <v>374</v>
      </c>
      <c r="F4" s="8">
        <v>29</v>
      </c>
      <c r="G4" s="8">
        <v>22</v>
      </c>
      <c r="H4" s="8">
        <v>371</v>
      </c>
    </row>
    <row r="5" spans="2:8">
      <c r="B5" s="8">
        <v>2021</v>
      </c>
      <c r="C5" s="9">
        <v>1002</v>
      </c>
      <c r="D5" s="8">
        <v>630</v>
      </c>
      <c r="E5" s="8">
        <v>595</v>
      </c>
      <c r="F5" s="8">
        <v>35</v>
      </c>
      <c r="G5" s="8">
        <v>54</v>
      </c>
      <c r="H5" s="8">
        <v>567</v>
      </c>
    </row>
    <row r="6" spans="2:8">
      <c r="B6" s="8">
        <v>2022</v>
      </c>
      <c r="C6" s="9">
        <v>1330</v>
      </c>
      <c r="D6" s="8">
        <v>728</v>
      </c>
      <c r="E6" s="8">
        <v>665</v>
      </c>
      <c r="F6" s="8">
        <v>64</v>
      </c>
      <c r="G6" s="8">
        <v>99</v>
      </c>
      <c r="H6" s="8">
        <v>607</v>
      </c>
    </row>
    <row r="7" spans="2:8">
      <c r="B7" s="8">
        <v>2023</v>
      </c>
      <c r="C7" s="9">
        <v>1626</v>
      </c>
      <c r="D7" s="8">
        <v>743</v>
      </c>
      <c r="E7" s="8">
        <v>658</v>
      </c>
      <c r="F7" s="8">
        <v>85</v>
      </c>
      <c r="G7" s="8">
        <v>70</v>
      </c>
      <c r="H7" s="8">
        <v>639</v>
      </c>
    </row>
    <row r="8" spans="2:8">
      <c r="B8" s="8">
        <v>2024</v>
      </c>
      <c r="C8" s="9">
        <v>1996</v>
      </c>
      <c r="D8" s="8">
        <v>992</v>
      </c>
      <c r="E8" s="8">
        <v>888</v>
      </c>
      <c r="F8" s="8">
        <v>104</v>
      </c>
      <c r="G8" s="8">
        <v>91</v>
      </c>
      <c r="H8" s="8">
        <v>860</v>
      </c>
    </row>
    <row r="9" spans="2:8">
      <c r="B9" s="10" t="s">
        <v>0</v>
      </c>
      <c r="C9" s="11">
        <v>1093</v>
      </c>
      <c r="D9" s="12">
        <v>544</v>
      </c>
      <c r="E9" s="12">
        <v>483</v>
      </c>
      <c r="F9" s="12">
        <v>61</v>
      </c>
      <c r="G9" s="12">
        <v>47</v>
      </c>
      <c r="H9" s="12">
        <v>474</v>
      </c>
    </row>
    <row r="11" spans="2:8" ht="17" thickBot="1"/>
    <row r="12" spans="2:8">
      <c r="B12" s="34" t="s">
        <v>9</v>
      </c>
      <c r="C12" s="35"/>
      <c r="D12" s="35"/>
      <c r="E12" s="35"/>
      <c r="F12" s="35"/>
      <c r="G12" s="36"/>
    </row>
    <row r="13" spans="2:8">
      <c r="B13" s="21" t="s">
        <v>1</v>
      </c>
      <c r="C13" s="22" t="s">
        <v>11</v>
      </c>
      <c r="D13" s="22" t="s">
        <v>12</v>
      </c>
      <c r="E13" s="22" t="s">
        <v>13</v>
      </c>
      <c r="F13" s="22" t="s">
        <v>14</v>
      </c>
      <c r="G13" s="23" t="s">
        <v>10</v>
      </c>
    </row>
    <row r="14" spans="2:8">
      <c r="B14" s="15">
        <v>2020</v>
      </c>
      <c r="C14" s="14">
        <f>D4/C4</f>
        <v>0.58771929824561409</v>
      </c>
      <c r="D14" s="14">
        <f>E4/C4</f>
        <v>0.54678362573099415</v>
      </c>
      <c r="E14" s="14">
        <f>F4/C4</f>
        <v>4.2397660818713448E-2</v>
      </c>
      <c r="F14" s="14">
        <f>G4/C4</f>
        <v>3.2163742690058478E-2</v>
      </c>
      <c r="G14" s="17">
        <f>H4/D4</f>
        <v>0.92288557213930345</v>
      </c>
    </row>
    <row r="15" spans="2:8">
      <c r="B15" s="15">
        <v>2021</v>
      </c>
      <c r="C15" s="14">
        <f>D5/C5</f>
        <v>0.62874251497005984</v>
      </c>
      <c r="D15" s="14">
        <f>E5/C5</f>
        <v>0.59381237524950103</v>
      </c>
      <c r="E15" s="14">
        <f>F5/C5</f>
        <v>3.4930139720558882E-2</v>
      </c>
      <c r="F15" s="14">
        <f>G5/C5</f>
        <v>5.3892215568862277E-2</v>
      </c>
      <c r="G15" s="17">
        <f>H5/D5</f>
        <v>0.9</v>
      </c>
    </row>
    <row r="16" spans="2:8">
      <c r="B16" s="15">
        <v>2022</v>
      </c>
      <c r="C16" s="14">
        <f>D6/C6</f>
        <v>0.54736842105263162</v>
      </c>
      <c r="D16" s="14">
        <f>E6/C6</f>
        <v>0.5</v>
      </c>
      <c r="E16" s="14">
        <f>F6/C6</f>
        <v>4.8120300751879702E-2</v>
      </c>
      <c r="F16" s="14">
        <f>G6/C6</f>
        <v>7.4436090225563911E-2</v>
      </c>
      <c r="G16" s="17">
        <f>H6/D6</f>
        <v>0.83379120879120883</v>
      </c>
    </row>
    <row r="17" spans="2:7">
      <c r="B17" s="15">
        <v>2023</v>
      </c>
      <c r="C17" s="14">
        <f>D7/C7</f>
        <v>0.45694956949569493</v>
      </c>
      <c r="D17" s="14">
        <f>E7/C7</f>
        <v>0.40467404674046742</v>
      </c>
      <c r="E17" s="14">
        <f>F7/C7</f>
        <v>5.2275522755227552E-2</v>
      </c>
      <c r="F17" s="14">
        <f>G7/C7</f>
        <v>4.3050430504305043E-2</v>
      </c>
      <c r="G17" s="17">
        <f>H7/D7</f>
        <v>0.86002691790040375</v>
      </c>
    </row>
    <row r="18" spans="2:7">
      <c r="B18" s="15">
        <v>2024</v>
      </c>
      <c r="C18" s="14">
        <f>D8/C8</f>
        <v>0.4969939879759519</v>
      </c>
      <c r="D18" s="14">
        <f>E8/C8</f>
        <v>0.44488977955911824</v>
      </c>
      <c r="E18" s="14">
        <f>F8/C8</f>
        <v>5.2104208416833664E-2</v>
      </c>
      <c r="F18" s="14">
        <f>G8/C8</f>
        <v>4.5591182364729456E-2</v>
      </c>
      <c r="G18" s="17">
        <f>H8/D8</f>
        <v>0.86693548387096775</v>
      </c>
    </row>
    <row r="19" spans="2:7" ht="17" thickBot="1">
      <c r="B19" s="18" t="s">
        <v>33</v>
      </c>
      <c r="C19" s="19">
        <f>AVERAGE(C14:C17)</f>
        <v>0.55519495094100013</v>
      </c>
      <c r="D19" s="19">
        <f t="shared" ref="D19:G19" si="0">AVERAGE(D14:D17)</f>
        <v>0.51131751193024066</v>
      </c>
      <c r="E19" s="19">
        <f t="shared" si="0"/>
        <v>4.4430906011594898E-2</v>
      </c>
      <c r="F19" s="19">
        <f t="shared" si="0"/>
        <v>5.0885619747197429E-2</v>
      </c>
      <c r="G19" s="20">
        <f t="shared" si="0"/>
        <v>0.87917592470772898</v>
      </c>
    </row>
    <row r="20" spans="2:7" ht="17" thickBot="1"/>
    <row r="21" spans="2:7" ht="17" thickBot="1">
      <c r="B21" s="37" t="s">
        <v>18</v>
      </c>
      <c r="C21" s="38"/>
      <c r="D21" s="39"/>
    </row>
    <row r="22" spans="2:7">
      <c r="B22" s="40" t="s">
        <v>1</v>
      </c>
      <c r="C22" s="41" t="s">
        <v>17</v>
      </c>
      <c r="D22" s="42" t="s">
        <v>15</v>
      </c>
    </row>
    <row r="23" spans="2:7">
      <c r="B23" s="15">
        <v>2020</v>
      </c>
      <c r="C23" s="8">
        <v>684</v>
      </c>
      <c r="D23" s="16" t="s">
        <v>16</v>
      </c>
    </row>
    <row r="24" spans="2:7">
      <c r="B24" s="15">
        <v>2021</v>
      </c>
      <c r="C24" s="9">
        <v>1002</v>
      </c>
      <c r="D24" s="27">
        <v>0.46</v>
      </c>
      <c r="G24" s="2"/>
    </row>
    <row r="25" spans="2:7">
      <c r="B25" s="15">
        <v>2022</v>
      </c>
      <c r="C25" s="9">
        <v>1330</v>
      </c>
      <c r="D25" s="27">
        <v>0.33</v>
      </c>
      <c r="G25" s="2"/>
    </row>
    <row r="26" spans="2:7">
      <c r="B26" s="15">
        <v>2023</v>
      </c>
      <c r="C26" s="9">
        <v>1626</v>
      </c>
      <c r="D26" s="27">
        <v>0.22</v>
      </c>
      <c r="G26" s="2"/>
    </row>
    <row r="27" spans="2:7">
      <c r="B27" s="15">
        <v>2024</v>
      </c>
      <c r="C27" s="9">
        <v>1996</v>
      </c>
      <c r="D27" s="27">
        <v>0.23</v>
      </c>
      <c r="G27" s="2"/>
    </row>
    <row r="28" spans="2:7" ht="17" thickBot="1">
      <c r="B28" s="28" t="s">
        <v>0</v>
      </c>
      <c r="C28" s="29">
        <v>1093</v>
      </c>
      <c r="D28" s="30">
        <v>0.21</v>
      </c>
      <c r="F28" s="1"/>
    </row>
  </sheetData>
  <mergeCells count="3">
    <mergeCell ref="B12:G12"/>
    <mergeCell ref="B2:H2"/>
    <mergeCell ref="B21:D21"/>
  </mergeCell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92E84-867C-D740-965C-CA8A1DCA6398}">
  <dimension ref="B2:J25"/>
  <sheetViews>
    <sheetView workbookViewId="0">
      <selection activeCell="N12" sqref="N12"/>
    </sheetView>
  </sheetViews>
  <sheetFormatPr baseColWidth="10" defaultRowHeight="16"/>
  <cols>
    <col min="3" max="3" width="12.1640625" bestFit="1" customWidth="1"/>
    <col min="4" max="4" width="16.33203125" bestFit="1" customWidth="1"/>
    <col min="8" max="8" width="15.5" bestFit="1" customWidth="1"/>
  </cols>
  <sheetData>
    <row r="2" spans="2:8" ht="17" thickBot="1"/>
    <row r="3" spans="2:8" ht="19" thickBot="1">
      <c r="B3" s="43" t="s">
        <v>27</v>
      </c>
      <c r="C3" s="44"/>
      <c r="D3" s="45"/>
    </row>
    <row r="4" spans="2:8">
      <c r="B4" s="46" t="s">
        <v>1</v>
      </c>
      <c r="C4" s="46" t="s">
        <v>19</v>
      </c>
      <c r="D4" s="46" t="s">
        <v>26</v>
      </c>
    </row>
    <row r="5" spans="2:8">
      <c r="B5" s="8" t="s">
        <v>20</v>
      </c>
      <c r="C5" s="24">
        <v>0.15</v>
      </c>
      <c r="D5" s="8" t="s">
        <v>25</v>
      </c>
    </row>
    <row r="6" spans="2:8">
      <c r="B6" s="8" t="s">
        <v>21</v>
      </c>
      <c r="C6" s="24">
        <v>0.13</v>
      </c>
      <c r="D6" s="8" t="s">
        <v>22</v>
      </c>
    </row>
    <row r="7" spans="2:8">
      <c r="B7" s="8" t="s">
        <v>23</v>
      </c>
      <c r="C7" s="24">
        <v>0.11</v>
      </c>
      <c r="D7" s="8" t="s">
        <v>24</v>
      </c>
    </row>
    <row r="10" spans="2:8">
      <c r="B10" s="13" t="s">
        <v>1</v>
      </c>
      <c r="C10" s="13" t="s">
        <v>17</v>
      </c>
      <c r="D10" s="13" t="s">
        <v>15</v>
      </c>
      <c r="F10" s="47" t="s">
        <v>30</v>
      </c>
      <c r="G10" s="47"/>
      <c r="H10" s="47"/>
    </row>
    <row r="11" spans="2:8">
      <c r="B11" s="8" t="s">
        <v>28</v>
      </c>
      <c r="C11" s="9">
        <v>1996</v>
      </c>
      <c r="D11" s="8" t="s">
        <v>16</v>
      </c>
      <c r="F11" s="47" t="s">
        <v>31</v>
      </c>
      <c r="G11" s="47"/>
      <c r="H11" s="47"/>
    </row>
    <row r="12" spans="2:8">
      <c r="B12" s="8" t="s">
        <v>29</v>
      </c>
      <c r="C12" s="9">
        <v>2187</v>
      </c>
      <c r="D12" s="24">
        <v>0.1</v>
      </c>
      <c r="F12" s="47" t="s">
        <v>32</v>
      </c>
      <c r="G12" s="47"/>
      <c r="H12" s="47"/>
    </row>
    <row r="13" spans="2:8">
      <c r="B13" s="8" t="s">
        <v>20</v>
      </c>
      <c r="C13" s="9">
        <v>2521</v>
      </c>
      <c r="D13" s="24">
        <v>0.15</v>
      </c>
    </row>
    <row r="14" spans="2:8">
      <c r="B14" s="8" t="s">
        <v>21</v>
      </c>
      <c r="C14" s="9">
        <v>2848</v>
      </c>
      <c r="D14" s="24">
        <v>0.13</v>
      </c>
    </row>
    <row r="15" spans="2:8">
      <c r="B15" s="8" t="s">
        <v>23</v>
      </c>
      <c r="C15" s="9">
        <v>3158</v>
      </c>
      <c r="D15" s="24">
        <v>0.11</v>
      </c>
    </row>
    <row r="21" spans="2:10">
      <c r="B21" s="52" t="s">
        <v>1</v>
      </c>
      <c r="C21" s="52" t="s">
        <v>3</v>
      </c>
      <c r="D21" s="52" t="s">
        <v>5</v>
      </c>
      <c r="E21" s="52" t="s">
        <v>4</v>
      </c>
      <c r="F21" s="52" t="s">
        <v>34</v>
      </c>
      <c r="G21" s="52" t="s">
        <v>6</v>
      </c>
      <c r="H21" s="52" t="s">
        <v>35</v>
      </c>
      <c r="I21" s="52" t="s">
        <v>36</v>
      </c>
      <c r="J21" s="52" t="s">
        <v>10</v>
      </c>
    </row>
    <row r="22" spans="2:10">
      <c r="B22" s="8" t="s">
        <v>29</v>
      </c>
      <c r="C22" s="48">
        <f>C12*'P&amp;L Summary'!$C$19</f>
        <v>1214.2113577079672</v>
      </c>
      <c r="D22" s="48">
        <f>C12*'P&amp;L Summary'!$E$19</f>
        <v>97.170391447358043</v>
      </c>
      <c r="E22" s="48">
        <f>C22-D22</f>
        <v>1117.0409662606091</v>
      </c>
      <c r="F22" s="48">
        <f>E22*25%</f>
        <v>279.26024156515228</v>
      </c>
      <c r="G22" s="49">
        <f>C12*'P&amp;L Summary'!$F$19</f>
        <v>111.28685038712078</v>
      </c>
      <c r="H22" s="8">
        <v>0</v>
      </c>
      <c r="I22" s="48">
        <f>E22-F22+D22-G22-H22</f>
        <v>823.66426575569415</v>
      </c>
      <c r="J22" s="24">
        <f>I22/C22</f>
        <v>0.67835328711675213</v>
      </c>
    </row>
    <row r="23" spans="2:10">
      <c r="B23" s="8" t="s">
        <v>20</v>
      </c>
      <c r="C23" s="48">
        <f>C13*'P&amp;L Summary'!$C$19</f>
        <v>1399.6464713222613</v>
      </c>
      <c r="D23" s="48">
        <f>C13*'P&amp;L Summary'!$E$19</f>
        <v>112.01031405523074</v>
      </c>
      <c r="E23" s="48">
        <f t="shared" ref="E23:E25" si="0">C23-D23</f>
        <v>1287.6361572670305</v>
      </c>
      <c r="F23" s="48">
        <f t="shared" ref="F23:F25" si="1">E23*25%</f>
        <v>321.90903931675763</v>
      </c>
      <c r="G23" s="49">
        <f>C13*'P&amp;L Summary'!$F$19</f>
        <v>128.28264738268473</v>
      </c>
      <c r="H23" s="8">
        <v>0</v>
      </c>
      <c r="I23" s="48">
        <f t="shared" ref="I23:I25" si="2">E23-F23+D23-G23-H23</f>
        <v>949.45478462281903</v>
      </c>
      <c r="J23" s="24">
        <f t="shared" ref="J23:J25" si="3">I23/C23</f>
        <v>0.67835328711675225</v>
      </c>
    </row>
    <row r="24" spans="2:10">
      <c r="B24" s="8" t="s">
        <v>21</v>
      </c>
      <c r="C24" s="48">
        <f>C14*'P&amp;L Summary'!$C$19</f>
        <v>1581.1952202799685</v>
      </c>
      <c r="D24" s="48">
        <f>C14*'P&amp;L Summary'!$E$19</f>
        <v>126.53922032102227</v>
      </c>
      <c r="E24" s="48">
        <f t="shared" si="0"/>
        <v>1454.6559999589463</v>
      </c>
      <c r="F24" s="48">
        <f t="shared" si="1"/>
        <v>363.66399998973657</v>
      </c>
      <c r="G24" s="49">
        <f>C14*'P&amp;L Summary'!$F$19</f>
        <v>144.92224504001828</v>
      </c>
      <c r="H24" s="8">
        <v>0</v>
      </c>
      <c r="I24" s="48">
        <f t="shared" si="2"/>
        <v>1072.6089752502137</v>
      </c>
      <c r="J24" s="24">
        <f t="shared" si="3"/>
        <v>0.67835328711675225</v>
      </c>
    </row>
    <row r="25" spans="2:10">
      <c r="B25" s="8" t="s">
        <v>23</v>
      </c>
      <c r="C25" s="48">
        <f>C15*'P&amp;L Summary'!$C$19</f>
        <v>1753.3056550716783</v>
      </c>
      <c r="D25" s="48">
        <f>C15*'P&amp;L Summary'!$E$19</f>
        <v>140.31280118461669</v>
      </c>
      <c r="E25" s="48">
        <f t="shared" si="0"/>
        <v>1612.9928538870615</v>
      </c>
      <c r="F25" s="48">
        <f t="shared" si="1"/>
        <v>403.24821347176538</v>
      </c>
      <c r="G25" s="49">
        <f>C15*'P&amp;L Summary'!$F$19</f>
        <v>160.69678716164947</v>
      </c>
      <c r="H25" s="8">
        <v>0</v>
      </c>
      <c r="I25" s="48">
        <f t="shared" si="2"/>
        <v>1189.3606544382633</v>
      </c>
      <c r="J25" s="24">
        <f t="shared" si="3"/>
        <v>0.67835328711675213</v>
      </c>
    </row>
  </sheetData>
  <mergeCells count="4">
    <mergeCell ref="B3:D3"/>
    <mergeCell ref="F10:H10"/>
    <mergeCell ref="F11:H11"/>
    <mergeCell ref="F12:H12"/>
  </mergeCells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D8B4D-0212-FE4A-B4F6-36E28A31E7C1}">
  <dimension ref="B3:J62"/>
  <sheetViews>
    <sheetView tabSelected="1" zoomScale="50" zoomScaleNormal="86" workbookViewId="0">
      <selection activeCell="R26" sqref="R26"/>
    </sheetView>
  </sheetViews>
  <sheetFormatPr baseColWidth="10" defaultRowHeight="16"/>
  <cols>
    <col min="6" max="6" width="16.6640625" bestFit="1" customWidth="1"/>
    <col min="8" max="8" width="45.6640625" customWidth="1"/>
    <col min="10" max="10" width="44.83203125" customWidth="1"/>
  </cols>
  <sheetData>
    <row r="3" spans="2:8">
      <c r="B3" s="55" t="s">
        <v>1</v>
      </c>
      <c r="C3" s="55" t="s">
        <v>42</v>
      </c>
      <c r="D3" s="56" t="s">
        <v>43</v>
      </c>
      <c r="E3" s="56" t="s">
        <v>44</v>
      </c>
      <c r="G3" s="56" t="s">
        <v>40</v>
      </c>
      <c r="H3" s="56" t="s">
        <v>41</v>
      </c>
    </row>
    <row r="4" spans="2:8">
      <c r="B4" s="8" t="s">
        <v>29</v>
      </c>
      <c r="C4" s="8">
        <v>1</v>
      </c>
      <c r="D4" s="54">
        <f>1/(1+$H$4)^C4</f>
        <v>0.91911764705882348</v>
      </c>
      <c r="E4" s="48">
        <f>'FCF Forecast'!I22*DCF!D4</f>
        <v>757.04436190780712</v>
      </c>
      <c r="G4" s="8" t="s">
        <v>37</v>
      </c>
      <c r="H4" s="57">
        <v>8.7999999999999995E-2</v>
      </c>
    </row>
    <row r="5" spans="2:8">
      <c r="B5" s="8" t="s">
        <v>20</v>
      </c>
      <c r="C5" s="8">
        <v>2</v>
      </c>
      <c r="D5" s="54">
        <f t="shared" ref="D5:D7" si="0">1/(1+$H$4)^C5</f>
        <v>0.84477724913494801</v>
      </c>
      <c r="E5" s="48">
        <f>'FCF Forecast'!I23*DCF!D5</f>
        <v>802.07780113167962</v>
      </c>
      <c r="G5" s="8" t="s">
        <v>38</v>
      </c>
      <c r="H5" s="57">
        <v>2.5000000000000001E-2</v>
      </c>
    </row>
    <row r="6" spans="2:8">
      <c r="B6" s="8" t="s">
        <v>21</v>
      </c>
      <c r="C6" s="8">
        <v>3</v>
      </c>
      <c r="D6" s="54">
        <f t="shared" si="0"/>
        <v>0.77644967751373895</v>
      </c>
      <c r="E6" s="48">
        <f>'FCF Forecast'!I24*DCF!D6</f>
        <v>832.82689293137037</v>
      </c>
      <c r="G6" s="8" t="s">
        <v>39</v>
      </c>
      <c r="H6" s="8">
        <v>2024</v>
      </c>
    </row>
    <row r="7" spans="2:8">
      <c r="B7" s="8" t="s">
        <v>23</v>
      </c>
      <c r="C7" s="8">
        <v>4</v>
      </c>
      <c r="D7" s="54">
        <f t="shared" si="0"/>
        <v>0.71364860065600999</v>
      </c>
      <c r="E7" s="48">
        <f>'FCF Forecast'!I25*DCF!D7</f>
        <v>848.78556671518288</v>
      </c>
    </row>
    <row r="10" spans="2:8">
      <c r="B10" s="3" t="s">
        <v>45</v>
      </c>
    </row>
    <row r="11" spans="2:8">
      <c r="B11" s="5">
        <f>'FCF Forecast'!I25*(1+H5)/(H4-H5)</f>
        <v>19350.709060305075</v>
      </c>
    </row>
    <row r="12" spans="2:8">
      <c r="B12" s="3" t="s">
        <v>46</v>
      </c>
    </row>
    <row r="13" spans="2:8">
      <c r="B13" s="5">
        <f>B11*D7</f>
        <v>13809.606442588291</v>
      </c>
    </row>
    <row r="14" spans="2:8">
      <c r="B14" s="3" t="s">
        <v>47</v>
      </c>
    </row>
    <row r="15" spans="2:8">
      <c r="B15" s="4">
        <f>SUM(E4:E7)+B13</f>
        <v>17050.34106527433</v>
      </c>
    </row>
    <row r="18" spans="2:8" ht="22">
      <c r="B18" s="7" t="s">
        <v>48</v>
      </c>
      <c r="H18" s="56" t="s">
        <v>50</v>
      </c>
    </row>
    <row r="19" spans="2:8" ht="17" thickBot="1">
      <c r="H19" s="49">
        <v>6500</v>
      </c>
    </row>
    <row r="20" spans="2:8">
      <c r="B20" s="65" t="s">
        <v>49</v>
      </c>
      <c r="C20" s="66">
        <v>0.02</v>
      </c>
      <c r="D20" s="67">
        <v>2.5000000000000001E-2</v>
      </c>
      <c r="E20" s="68">
        <v>0.03</v>
      </c>
      <c r="H20" s="56" t="s">
        <v>51</v>
      </c>
    </row>
    <row r="21" spans="2:8">
      <c r="B21" s="60">
        <v>0.08</v>
      </c>
      <c r="C21" s="48">
        <f>SUM($E$4:$E$7)+(('FCF Forecast'!$I$25*(1+C$20))/($B21-C$20))*$D$7</f>
        <v>17670.089256844152</v>
      </c>
      <c r="D21" s="48">
        <f>SUM($E$4:$E$7)+(('FCF Forecast'!$I$25*(1+D$20))/($B21-D$20))*$D$7</f>
        <v>19059.011093287172</v>
      </c>
      <c r="E21" s="61">
        <f>SUM($E$4:$E$7)+(('FCF Forecast'!$I$25*(1+E$20))/($B21-E$20))*$D$7</f>
        <v>20725.717297018804</v>
      </c>
      <c r="H21" s="48">
        <f>B15+H19</f>
        <v>23550.34106527433</v>
      </c>
    </row>
    <row r="22" spans="2:8">
      <c r="B22" s="62">
        <v>8.5000000000000006E-2</v>
      </c>
      <c r="C22" s="48">
        <f>SUM($E$4:$E$7)+(('FCF Forecast'!$I$25*(1+C$20))/($B22-C$20))*$D$7</f>
        <v>16560.138900370446</v>
      </c>
      <c r="D22" s="48">
        <f>SUM($E$4:$E$7)+(('FCF Forecast'!$I$25*(1+D$20))/($B22-D$20))*$D$7</f>
        <v>17740.821387403746</v>
      </c>
      <c r="E22" s="61">
        <f>SUM($E$4:$E$7)+(('FCF Forecast'!$I$25*(1+E$20))/($B22-E$20))*$D$7</f>
        <v>19136.173417534006</v>
      </c>
      <c r="H22" s="56" t="s">
        <v>52</v>
      </c>
    </row>
    <row r="23" spans="2:8">
      <c r="B23" s="62">
        <v>8.7999999999999995E-2</v>
      </c>
      <c r="C23" s="48">
        <f>SUM($E$4:$E$7)+(('FCF Forecast'!$I$25*(1+C$20))/($B23-C$20))*$D$7</f>
        <v>15972.518123413785</v>
      </c>
      <c r="D23" s="48">
        <f>SUM($E$4:$E$7)+(('FCF Forecast'!$I$25*(1+D$20))/($B23-D$20))*$D$7</f>
        <v>17050.34106527433</v>
      </c>
      <c r="E23" s="61">
        <f>SUM($E$4:$E$7)+(('FCF Forecast'!$I$25*(1+E$20))/($B23-E$20))*$D$7</f>
        <v>18313.995548834977</v>
      </c>
      <c r="H23" s="72">
        <v>31.4</v>
      </c>
    </row>
    <row r="24" spans="2:8">
      <c r="B24" s="60">
        <v>0.09</v>
      </c>
      <c r="C24" s="48">
        <f>SUM($E$4:$E$7)+(('FCF Forecast'!$I$25*(1+C$20))/($B24-C$20))*$D$7</f>
        <v>15608.752880535852</v>
      </c>
      <c r="D24" s="48">
        <f>SUM($E$4:$E$7)+(('FCF Forecast'!$I$25*(1+D$20))/($B24-D$20))*$D$7</f>
        <v>16625.430097810076</v>
      </c>
      <c r="E24" s="61">
        <f>SUM($E$4:$E$7)+(('FCF Forecast'!$I$25*(1+E$20))/($B24-E$20))*$D$7</f>
        <v>17811.553517963344</v>
      </c>
      <c r="H24" s="56" t="s">
        <v>53</v>
      </c>
    </row>
    <row r="25" spans="2:8" ht="17" thickBot="1">
      <c r="B25" s="63">
        <v>9.5000000000000001E-2</v>
      </c>
      <c r="C25" s="50">
        <f>SUM($E$4:$E$7)+(('FCF Forecast'!$I$25*(1+C$20))/($B25-C$20))*$D$7</f>
        <v>14784.218330012529</v>
      </c>
      <c r="D25" s="50">
        <f>SUM($E$4:$E$7)+(('FCF Forecast'!$I$25*(1+D$20))/($B25-D$20))*$D$7</f>
        <v>15669.380421015499</v>
      </c>
      <c r="E25" s="64">
        <f>SUM($E$4:$E$7)+(('FCF Forecast'!$I$25*(1+E$20))/($B25-E$20))*$D$7</f>
        <v>16690.721295249707</v>
      </c>
      <c r="H25" s="73">
        <f>H21/H23</f>
        <v>750.01086195141181</v>
      </c>
    </row>
    <row r="28" spans="2:8">
      <c r="B28" s="3" t="s">
        <v>54</v>
      </c>
    </row>
    <row r="30" spans="2:8" ht="19">
      <c r="B30" s="6" t="s">
        <v>55</v>
      </c>
    </row>
    <row r="31" spans="2:8">
      <c r="B31" s="56" t="s">
        <v>49</v>
      </c>
      <c r="C31" s="69">
        <v>0.02</v>
      </c>
      <c r="D31" s="70">
        <v>2.5000000000000001E-2</v>
      </c>
      <c r="E31" s="71">
        <v>0.03</v>
      </c>
    </row>
    <row r="32" spans="2:8">
      <c r="B32" s="58">
        <v>0.08</v>
      </c>
      <c r="C32" s="48">
        <f>C21+$H$19</f>
        <v>24170.089256844152</v>
      </c>
      <c r="D32" s="48">
        <f t="shared" ref="D32:E32" si="1">D21+$H$19</f>
        <v>25559.011093287172</v>
      </c>
      <c r="E32" s="48">
        <f t="shared" si="1"/>
        <v>27225.717297018804</v>
      </c>
    </row>
    <row r="33" spans="2:10">
      <c r="B33" s="59">
        <v>8.5000000000000006E-2</v>
      </c>
      <c r="C33" s="48">
        <f t="shared" ref="C33:E33" si="2">C22+$H$19</f>
        <v>23060.138900370446</v>
      </c>
      <c r="D33" s="48">
        <f t="shared" si="2"/>
        <v>24240.821387403746</v>
      </c>
      <c r="E33" s="48">
        <f t="shared" si="2"/>
        <v>25636.173417534006</v>
      </c>
    </row>
    <row r="34" spans="2:10">
      <c r="B34" s="59">
        <v>8.7999999999999995E-2</v>
      </c>
      <c r="C34" s="48">
        <f t="shared" ref="C34:E34" si="3">C23+$H$19</f>
        <v>22472.518123413785</v>
      </c>
      <c r="D34" s="48">
        <f t="shared" si="3"/>
        <v>23550.34106527433</v>
      </c>
      <c r="E34" s="48">
        <f t="shared" si="3"/>
        <v>24813.995548834977</v>
      </c>
    </row>
    <row r="35" spans="2:10">
      <c r="B35" s="58">
        <v>0.09</v>
      </c>
      <c r="C35" s="48">
        <f t="shared" ref="C35:E35" si="4">C24+$H$19</f>
        <v>22108.752880535852</v>
      </c>
      <c r="D35" s="48">
        <f t="shared" si="4"/>
        <v>23125.430097810076</v>
      </c>
      <c r="E35" s="48">
        <f t="shared" si="4"/>
        <v>24311.553517963344</v>
      </c>
    </row>
    <row r="36" spans="2:10">
      <c r="B36" s="59">
        <v>9.5000000000000001E-2</v>
      </c>
      <c r="C36" s="48">
        <f t="shared" ref="C36:E36" si="5">C25+$H$19</f>
        <v>21284.218330012529</v>
      </c>
      <c r="D36" s="48">
        <f t="shared" si="5"/>
        <v>22169.380421015499</v>
      </c>
      <c r="E36" s="48">
        <f t="shared" si="5"/>
        <v>23190.721295249707</v>
      </c>
    </row>
    <row r="37" spans="2:10" ht="17" thickBot="1"/>
    <row r="38" spans="2:10" ht="20" thickBot="1">
      <c r="B38" s="78" t="s">
        <v>56</v>
      </c>
      <c r="C38" s="79"/>
      <c r="D38" s="79"/>
      <c r="E38" s="80"/>
    </row>
    <row r="39" spans="2:10">
      <c r="B39" s="74" t="s">
        <v>49</v>
      </c>
      <c r="C39" s="75">
        <v>0.02</v>
      </c>
      <c r="D39" s="76">
        <v>2.5000000000000001E-2</v>
      </c>
      <c r="E39" s="77">
        <v>0.03</v>
      </c>
    </row>
    <row r="40" spans="2:10">
      <c r="B40" s="60">
        <v>0.08</v>
      </c>
      <c r="C40" s="48">
        <f>C32/$H$23</f>
        <v>769.74806550459084</v>
      </c>
      <c r="D40" s="48">
        <f t="shared" ref="D40:E40" si="6">D32/$H$23</f>
        <v>813.9812450091456</v>
      </c>
      <c r="E40" s="61">
        <f t="shared" si="6"/>
        <v>867.06106041461157</v>
      </c>
    </row>
    <row r="41" spans="2:10">
      <c r="B41" s="62">
        <v>8.5000000000000006E-2</v>
      </c>
      <c r="C41" s="48">
        <f t="shared" ref="C41:E41" si="7">C33/$H$23</f>
        <v>734.39932803727538</v>
      </c>
      <c r="D41" s="48">
        <f t="shared" si="7"/>
        <v>772.00068112750785</v>
      </c>
      <c r="E41" s="61">
        <f t="shared" si="7"/>
        <v>816.43864387050974</v>
      </c>
    </row>
    <row r="42" spans="2:10">
      <c r="B42" s="62">
        <v>8.7999999999999995E-2</v>
      </c>
      <c r="C42" s="48">
        <f t="shared" ref="C42:E42" si="8">C34/$H$23</f>
        <v>715.68529055457918</v>
      </c>
      <c r="D42" s="48">
        <f t="shared" si="8"/>
        <v>750.01086195141181</v>
      </c>
      <c r="E42" s="61">
        <f t="shared" si="8"/>
        <v>790.25463531321589</v>
      </c>
    </row>
    <row r="43" spans="2:10">
      <c r="B43" s="60">
        <v>0.09</v>
      </c>
      <c r="C43" s="48">
        <f t="shared" ref="C43:E43" si="9">C35/$H$23</f>
        <v>704.10041020814822</v>
      </c>
      <c r="D43" s="48">
        <f t="shared" si="9"/>
        <v>736.47866553535277</v>
      </c>
      <c r="E43" s="61">
        <f t="shared" si="9"/>
        <v>774.25329675042497</v>
      </c>
    </row>
    <row r="44" spans="2:10" ht="17" thickBot="1">
      <c r="B44" s="63">
        <v>9.5000000000000001E-2</v>
      </c>
      <c r="C44" s="50">
        <f t="shared" ref="C44:E44" si="10">C36/$H$23</f>
        <v>677.84134808957106</v>
      </c>
      <c r="D44" s="50">
        <f t="shared" si="10"/>
        <v>706.03122359921974</v>
      </c>
      <c r="E44" s="64">
        <f t="shared" si="10"/>
        <v>738.55800303343017</v>
      </c>
    </row>
    <row r="46" spans="2:10" ht="15" customHeight="1"/>
    <row r="47" spans="2:10" ht="225" customHeight="1" thickBot="1">
      <c r="H47" s="95" t="s">
        <v>57</v>
      </c>
      <c r="J47" s="96" t="s">
        <v>72</v>
      </c>
    </row>
    <row r="48" spans="2:10" ht="17" thickBot="1">
      <c r="B48" s="83" t="s">
        <v>58</v>
      </c>
      <c r="C48" s="84" t="s">
        <v>37</v>
      </c>
      <c r="D48" s="84" t="s">
        <v>38</v>
      </c>
      <c r="E48" s="84" t="s">
        <v>59</v>
      </c>
      <c r="F48" s="85" t="s">
        <v>60</v>
      </c>
    </row>
    <row r="49" spans="2:8">
      <c r="B49" s="26" t="s">
        <v>61</v>
      </c>
      <c r="C49" s="81">
        <v>9.5000000000000001E-2</v>
      </c>
      <c r="D49" s="81">
        <v>0.02</v>
      </c>
      <c r="E49" s="26" t="s">
        <v>62</v>
      </c>
      <c r="F49" s="82" t="s">
        <v>63</v>
      </c>
    </row>
    <row r="50" spans="2:8">
      <c r="B50" s="8" t="s">
        <v>64</v>
      </c>
      <c r="C50" s="57">
        <v>8.7999999999999995E-2</v>
      </c>
      <c r="D50" s="57">
        <v>2.5000000000000001E-2</v>
      </c>
      <c r="E50" s="8" t="s">
        <v>65</v>
      </c>
      <c r="F50" s="53" t="s">
        <v>66</v>
      </c>
    </row>
    <row r="51" spans="2:8">
      <c r="B51" s="8" t="s">
        <v>67</v>
      </c>
      <c r="C51" s="57">
        <v>0.08</v>
      </c>
      <c r="D51" s="57">
        <v>0.03</v>
      </c>
      <c r="E51" s="8" t="s">
        <v>68</v>
      </c>
      <c r="F51" s="53" t="s">
        <v>69</v>
      </c>
    </row>
    <row r="52" spans="2:8">
      <c r="B52" s="8" t="s">
        <v>70</v>
      </c>
      <c r="C52" s="8" t="s">
        <v>71</v>
      </c>
      <c r="D52" s="8" t="s">
        <v>71</v>
      </c>
      <c r="E52" s="9">
        <v>1526</v>
      </c>
      <c r="F52" s="8" t="s">
        <v>16</v>
      </c>
    </row>
    <row r="54" spans="2:8" ht="185" customHeight="1">
      <c r="H54" s="97" t="s">
        <v>82</v>
      </c>
    </row>
    <row r="56" spans="2:8" ht="17" thickBot="1"/>
    <row r="57" spans="2:8">
      <c r="B57" s="65" t="s">
        <v>37</v>
      </c>
      <c r="C57" s="92" t="s">
        <v>73</v>
      </c>
      <c r="D57" s="93"/>
      <c r="E57" s="92" t="s">
        <v>38</v>
      </c>
      <c r="F57" s="94" t="s">
        <v>73</v>
      </c>
    </row>
    <row r="58" spans="2:8">
      <c r="B58" s="87">
        <v>8.7999999999999995E-2</v>
      </c>
      <c r="C58" s="25">
        <v>17.100000000000001</v>
      </c>
      <c r="D58" s="8"/>
      <c r="E58" s="57">
        <v>2.5000000000000001E-2</v>
      </c>
      <c r="F58" s="88">
        <v>17.100000000000001</v>
      </c>
    </row>
    <row r="59" spans="2:8">
      <c r="B59" s="87">
        <v>0.08</v>
      </c>
      <c r="C59" s="25" t="s">
        <v>74</v>
      </c>
      <c r="D59" s="8"/>
      <c r="E59" s="86">
        <v>0.03</v>
      </c>
      <c r="F59" s="88">
        <v>18.600000000000001</v>
      </c>
    </row>
    <row r="60" spans="2:8">
      <c r="B60" s="87">
        <v>7.4999999999999997E-2</v>
      </c>
      <c r="C60" s="25" t="s">
        <v>75</v>
      </c>
      <c r="D60" s="8"/>
      <c r="E60" s="86">
        <v>0.04</v>
      </c>
      <c r="F60" s="88" t="s">
        <v>79</v>
      </c>
    </row>
    <row r="61" spans="2:8">
      <c r="B61" s="87">
        <v>7.0000000000000007E-2</v>
      </c>
      <c r="C61" s="25" t="s">
        <v>76</v>
      </c>
      <c r="D61" s="8"/>
      <c r="E61" s="86">
        <v>0.05</v>
      </c>
      <c r="F61" s="88" t="s">
        <v>80</v>
      </c>
    </row>
    <row r="62" spans="2:8" ht="17" thickBot="1">
      <c r="B62" s="89" t="s">
        <v>77</v>
      </c>
      <c r="C62" s="90" t="s">
        <v>78</v>
      </c>
      <c r="D62" s="51"/>
      <c r="E62" s="90" t="s">
        <v>81</v>
      </c>
      <c r="F62" s="91" t="s">
        <v>78</v>
      </c>
    </row>
  </sheetData>
  <mergeCells count="1">
    <mergeCell ref="B38:E38"/>
  </mergeCells>
  <phoneticPr fontId="8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P&amp;L Summary</vt:lpstr>
      <vt:lpstr>FCF Forecast</vt:lpstr>
      <vt:lpstr>DCF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Егор Зубков</dc:creator>
  <cp:lastModifiedBy>Егор Зубков</cp:lastModifiedBy>
  <dcterms:created xsi:type="dcterms:W3CDTF">2025-12-16T13:47:45Z</dcterms:created>
  <dcterms:modified xsi:type="dcterms:W3CDTF">2025-12-22T11:13:55Z</dcterms:modified>
</cp:coreProperties>
</file>